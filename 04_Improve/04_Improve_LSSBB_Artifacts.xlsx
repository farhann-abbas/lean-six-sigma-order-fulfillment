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Lean-Six-Sigma-Order-Fulfillment\04_Improve\"/>
    </mc:Choice>
  </mc:AlternateContent>
  <xr:revisionPtr revIDLastSave="0" documentId="13_ncr:1_{877EF171-E8EB-4B4B-8494-44096E0BA9EC}" xr6:coauthVersionLast="47" xr6:coauthVersionMax="47" xr10:uidLastSave="{00000000-0000-0000-0000-000000000000}"/>
  <bookViews>
    <workbookView xWindow="-108" yWindow="-108" windowWidth="23256" windowHeight="12456" activeTab="1" xr2:uid="{00000000-000D-0000-FFFF-FFFF00000000}"/>
  </bookViews>
  <sheets>
    <sheet name="Improve Overview" sheetId="1" r:id="rId1"/>
    <sheet name="FMEA" sheetId="2" r:id="rId2"/>
    <sheet name="Improvement Actions" sheetId="3" r:id="rId3"/>
    <sheet name="Prioritization Matrix" sheetId="4" r:id="rId4"/>
    <sheet name="Scenario Impact" sheetId="5" r:id="rId5"/>
    <sheet name="Future-State Process" sheetId="6" r:id="rId6"/>
    <sheet name="Control Handoff" sheetId="7" r:id="rId7"/>
    <sheet name="Category Baseline" sheetId="8" r:id="rId8"/>
    <sheet name="Order Quantity Baselin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I4" i="2"/>
  <c r="I5" i="2"/>
  <c r="I6" i="2"/>
  <c r="I2" i="2"/>
</calcChain>
</file>

<file path=xl/sharedStrings.xml><?xml version="1.0" encoding="utf-8"?>
<sst xmlns="http://schemas.openxmlformats.org/spreadsheetml/2006/main" count="249" uniqueCount="198">
  <si>
    <t>DMAIC Phase</t>
  </si>
  <si>
    <t>Improve</t>
  </si>
  <si>
    <t>Evidence basis</t>
  </si>
  <si>
    <t>Important limitation</t>
  </si>
  <si>
    <t>No actual process change has been implemented; scenario impact is not measured improvement.</t>
  </si>
  <si>
    <t>Primary direction</t>
  </si>
  <si>
    <t>Measurement enhancement</t>
  </si>
  <si>
    <t>Capture inventory-at-order snapshots and standardized shortage reason codes.</t>
  </si>
  <si>
    <t>Next phase</t>
  </si>
  <si>
    <t>Control: KPI ownership, monitoring frequency, thresholds and reaction plans.</t>
  </si>
  <si>
    <t>Failure Mode</t>
  </si>
  <si>
    <t>Potential Failure</t>
  </si>
  <si>
    <t>Effect</t>
  </si>
  <si>
    <t>Cause/Evidence</t>
  </si>
  <si>
    <t>Severity</t>
  </si>
  <si>
    <t>Recommended Control</t>
  </si>
  <si>
    <t>Occurrence*</t>
  </si>
  <si>
    <t>Detection*</t>
  </si>
  <si>
    <t>RPN*</t>
  </si>
  <si>
    <t>FMEA-01</t>
  </si>
  <si>
    <t>Large customer order not fully fulfilled</t>
  </si>
  <si>
    <t>Partial/backorder</t>
  </si>
  <si>
    <t>Order-size risk flag + exception review</t>
  </si>
  <si>
    <t>FMEA-02</t>
  </si>
  <si>
    <t>Category-specific shortage not proactively identified</t>
  </si>
  <si>
    <t>Shortage/backorder</t>
  </si>
  <si>
    <t>Category-specific rules</t>
  </si>
  <si>
    <t>FMEA-03</t>
  </si>
  <si>
    <t>Allocation without reliable inventory-at-order snapshot</t>
  </si>
  <si>
    <t>Inventory linkage insufficient</t>
  </si>
  <si>
    <t>Capture inventory position</t>
  </si>
  <si>
    <t>FMEA-04</t>
  </si>
  <si>
    <t>Shortage reason not captured</t>
  </si>
  <si>
    <t>Recurring unresolved shortage</t>
  </si>
  <si>
    <t>No standardized reason code</t>
  </si>
  <si>
    <t>Reason codes</t>
  </si>
  <si>
    <t>FMEA-05</t>
  </si>
  <si>
    <t>Supplier performance incorrectly targeted</t>
  </si>
  <si>
    <t>Mis-targeted improvement</t>
  </si>
  <si>
    <t>Supplier PO fill not supported as primary factor</t>
  </si>
  <si>
    <t>Keep supplier as control variable</t>
  </si>
  <si>
    <t>ID</t>
  </si>
  <si>
    <t>Improvement</t>
  </si>
  <si>
    <t>Evidence Basis</t>
  </si>
  <si>
    <t>Proposed Change</t>
  </si>
  <si>
    <t>Priority</t>
  </si>
  <si>
    <t>Owner</t>
  </si>
  <si>
    <t>Implementation Mode</t>
  </si>
  <si>
    <t>Expected Impact</t>
  </si>
  <si>
    <t>1</t>
  </si>
  <si>
    <t>Order-size risk flag</t>
  </si>
  <si>
    <t>Flag unusually large orders for availability/allocation review.</t>
  </si>
  <si>
    <t>High</t>
  </si>
  <si>
    <t>Planning + Operations</t>
  </si>
  <si>
    <t>Pilot</t>
  </si>
  <si>
    <t>Expected reduction in avoidable shortages; measure after implementation.</t>
  </si>
  <si>
    <t>2</t>
  </si>
  <si>
    <t>Category-specific fulfillment rules</t>
  </si>
  <si>
    <t>Create category-level replenishment and exception rules using shortage patterns.</t>
  </si>
  <si>
    <t>Planning + Inventory</t>
  </si>
  <si>
    <t>Expected improvement in fill reliability; validate with before/after measurement.</t>
  </si>
  <si>
    <t>3</t>
  </si>
  <si>
    <t>Exception-based allocation review</t>
  </si>
  <si>
    <t>Process mechanism is not directly recorded.</t>
  </si>
  <si>
    <t>Review high-risk orders before final allocation.</t>
  </si>
  <si>
    <t>Medium</t>
  </si>
  <si>
    <t>Order Management</t>
  </si>
  <si>
    <t>Expected reduction in partial/backorder outcomes.</t>
  </si>
  <si>
    <t>4</t>
  </si>
  <si>
    <t>Inventory-at-order measurement</t>
  </si>
  <si>
    <t>Current inventory linkage is insufficient for causal validation.</t>
  </si>
  <si>
    <t>Capture inventory position at order creation/allocation.</t>
  </si>
  <si>
    <t>IT/ERP + Operations</t>
  </si>
  <si>
    <t>Process enhancement</t>
  </si>
  <si>
    <t>Enables stronger root-cause validation and control.</t>
  </si>
  <si>
    <t>5</t>
  </si>
  <si>
    <t>Shortage reason codes</t>
  </si>
  <si>
    <t>Operational cause is not captured in source data.</t>
  </si>
  <si>
    <t>Standardize reasons for shortages, backorders and partial fulfillment.</t>
  </si>
  <si>
    <t>Operations</t>
  </si>
  <si>
    <t>Standardization</t>
  </si>
  <si>
    <t>Improves future Pareto and root-cause precision.</t>
  </si>
  <si>
    <t>Expected Benefit</t>
  </si>
  <si>
    <t>Evidence Strength</t>
  </si>
  <si>
    <t>Feasibility</t>
  </si>
  <si>
    <t>Rationale</t>
  </si>
  <si>
    <t>Inventory-at-order capture</t>
  </si>
  <si>
    <t>Addresses a major evidence/control gap.</t>
  </si>
  <si>
    <t>Strengthens future root-cause validation.</t>
  </si>
  <si>
    <t>Allocation exception review</t>
  </si>
  <si>
    <t>Practical intervention; mechanism needs validation.</t>
  </si>
  <si>
    <t>Scenario</t>
  </si>
  <si>
    <t>Description</t>
  </si>
  <si>
    <t>Fill_Rate</t>
  </si>
  <si>
    <t>Assumed_Shortage_Reduction</t>
  </si>
  <si>
    <t>Projected_Shortage_Qty</t>
  </si>
  <si>
    <t>Baseline (observed)</t>
  </si>
  <si>
    <t>Scenario A</t>
  </si>
  <si>
    <t>Scenario B</t>
  </si>
  <si>
    <t>Scenario C</t>
  </si>
  <si>
    <t>Step</t>
  </si>
  <si>
    <t>Process Stage</t>
  </si>
  <si>
    <t>Future-State Action</t>
  </si>
  <si>
    <t>Output</t>
  </si>
  <si>
    <t>Order Created</t>
  </si>
  <si>
    <t>Capture order quantity, product/category and requirement</t>
  </si>
  <si>
    <t>Complete order data</t>
  </si>
  <si>
    <t>Risk Screening</t>
  </si>
  <si>
    <t>Apply order-size/category risk rules</t>
  </si>
  <si>
    <t>Risk flag</t>
  </si>
  <si>
    <t>Inventory Check</t>
  </si>
  <si>
    <t>Check inventory position at order creation</t>
  </si>
  <si>
    <t>Available / exception</t>
  </si>
  <si>
    <t>Allocation</t>
  </si>
  <si>
    <t>Allocate stock; route exceptions for review</t>
  </si>
  <si>
    <t>Allocation decision</t>
  </si>
  <si>
    <t>Replenishment Check</t>
  </si>
  <si>
    <t>Trigger replenishment when policy threshold is met</t>
  </si>
  <si>
    <t>Replenishment action</t>
  </si>
  <si>
    <t>6</t>
  </si>
  <si>
    <t>Fulfillment</t>
  </si>
  <si>
    <t>Pick and ship complete order where feasible</t>
  </si>
  <si>
    <t>Shipment</t>
  </si>
  <si>
    <t>7</t>
  </si>
  <si>
    <t>Exception Capture</t>
  </si>
  <si>
    <t>Record standardized shortage/backorder reason</t>
  </si>
  <si>
    <t>Reason code</t>
  </si>
  <si>
    <t>8</t>
  </si>
  <si>
    <t>Control Feedback</t>
  </si>
  <si>
    <t>Monitor CTQ by risk group/category</t>
  </si>
  <si>
    <t>Dashboard / reaction</t>
  </si>
  <si>
    <t>KPI</t>
  </si>
  <si>
    <t>Purpose</t>
  </si>
  <si>
    <t>Frequency</t>
  </si>
  <si>
    <t>Segmentation</t>
  </si>
  <si>
    <t>Reaction Plan</t>
  </si>
  <si>
    <t>Customer Quantity Fill Rate</t>
  </si>
  <si>
    <t>Weekly</t>
  </si>
  <si>
    <t>Overall + category + order-size band</t>
  </si>
  <si>
    <t>Investigate deterioration against agreed target</t>
  </si>
  <si>
    <t>Complete Order Rate</t>
  </si>
  <si>
    <t>Review exception orders</t>
  </si>
  <si>
    <t>Backorder Rate</t>
  </si>
  <si>
    <t>Secondary</t>
  </si>
  <si>
    <t>Category/product</t>
  </si>
  <si>
    <t>Trigger replenishment/root-cause review</t>
  </si>
  <si>
    <t>Planning</t>
  </si>
  <si>
    <t>Partial Fulfillment Rate</t>
  </si>
  <si>
    <t>Category/order-size band</t>
  </si>
  <si>
    <t>Review allocation and availability</t>
  </si>
  <si>
    <t>Shortage Reason Code Completeness</t>
  </si>
  <si>
    <t>Data quality</t>
  </si>
  <si>
    <t>All eligible orders</t>
  </si>
  <si>
    <t>Correct missing reason capture</t>
  </si>
  <si>
    <t>Operations/IT</t>
  </si>
  <si>
    <t>Inventory Snapshot Completeness</t>
  </si>
  <si>
    <t>Measurement</t>
  </si>
  <si>
    <t>Daily/weekly</t>
  </si>
  <si>
    <t>Order-level</t>
  </si>
  <si>
    <t>Escalate incomplete capture</t>
  </si>
  <si>
    <t>IT/Operations</t>
  </si>
  <si>
    <t>Category</t>
  </si>
  <si>
    <t>Orders</t>
  </si>
  <si>
    <t>Ordered</t>
  </si>
  <si>
    <t>Shipped</t>
  </si>
  <si>
    <t>Shortage</t>
  </si>
  <si>
    <t>Complete</t>
  </si>
  <si>
    <t>Complete_Rate</t>
  </si>
  <si>
    <t>Shortage_Share</t>
  </si>
  <si>
    <t>Sauces</t>
  </si>
  <si>
    <t>Spreads</t>
  </si>
  <si>
    <t>Pickles</t>
  </si>
  <si>
    <t>Beverages</t>
  </si>
  <si>
    <t>Snacks</t>
  </si>
  <si>
    <t>Qty_Band</t>
  </si>
  <si>
    <t>Q1 Smallest</t>
  </si>
  <si>
    <t>Q2</t>
  </si>
  <si>
    <t>Q3</t>
  </si>
  <si>
    <t>Q4</t>
  </si>
  <si>
    <t>Q5 Largest</t>
  </si>
  <si>
    <t>Largest order-size band contributes the highest absolute shortage quantity, but the Mann–Whitney test did not establish a statistically significant order-quantity difference (p = 0.3611).</t>
  </si>
  <si>
    <t>Category-level shortage quantities vary descriptively, but the chi-square test did not establish a statistically significant association between category and complete fulfillment (p = 0.6179).</t>
  </si>
  <si>
    <t>The Analyze phase did not establish order quantity or product category as statistically significant factors in fulfillment variation. Improvement actions are therefore proposed as pilot interventions and exploratory controls, to be validated through operational testing rather than treated as proven root causes.</t>
  </si>
  <si>
    <t>The largest order-size band contributes the highest absolute shortage quantity, but the Mann–Whitney test did not establish a statistically significant difference in order-quantity distributions between complete and incomplete orders (p = 0.3611). An order-size exception review may be piloted and evaluated using operational results.</t>
  </si>
  <si>
    <t>Category-level shortage quantities vary descriptively, but the chi-square test did not establish a statistically significant association between product category and complete-fulfillment status (p = 0.6179). Category-specific controls may be explored in a pilot, but category is not established as a statistically significant driver by this test.</t>
  </si>
  <si>
    <t>Exploratory</t>
  </si>
  <si>
    <t>Targets the highest absolute shortage-volume band as a pilot opportunity; order quantity was not statistically significant in the completed test.</t>
  </si>
  <si>
    <t>Explores descriptive category-level variation; the chi-square test did not establish a statistically significant association with complete-fulfillment status.</t>
  </si>
  <si>
    <t>Primary CTQ — baseline KPI; proposed control measure</t>
  </si>
  <si>
    <t>Secondary CTQ — baseline KPI; proposed control measure</t>
  </si>
  <si>
    <t>Observed eligible non-cancelled order performance; baseline, not post-improvement results</t>
  </si>
  <si>
    <t>Illustrative scenario assuming a 5% reduction in baseline shortage quantity; not a measured result</t>
  </si>
  <si>
    <t>Illustrative scenario assuming a 10% reduction in baseline shortage quantity; not a measured result</t>
  </si>
  <si>
    <t>Illustrative scenario assuming a 15% reduction in baseline shortage quantity; not a measured result</t>
  </si>
  <si>
    <t>Interpretation: Category-level fill rates, complete-order rates, and shortage quantities describe baseline performance. The chi-square test did not identify a statistically significant association between product category and complete-fulfillment status (p = 0.6179, alpha = 0.05). These descriptive differences should not be interpreted as evidence that category is a proven root cause.</t>
  </si>
  <si>
    <t>Interpretation: Q5 (Largest) has the highest absolute shortage quantity (59,261), reflecting its larger total ordered quantity. Its fill rate is approximately 92.57%, higher than the rates for Q1 and Q2. The Mann–Whitney test did not identify a statistically significant difference in order-quantity distributions between eligible complete and incomplete orders (p = 0.3611). These descriptive results do not establish order quantity as a statistically significant driver of incomplete fulfillment.</t>
  </si>
  <si>
    <t>Primary direction: Pilot exception-based handling of selected high-quantity orders and improve inventory-at-order and shortage-reason data capture. Category-level monitoring remains exploratory; category-specific controls require further operational validation.</t>
  </si>
  <si>
    <t>Category-level monitoring; pilot only if operationally justified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</si>
</sst>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1" fillId="2" borderId="0" xfId="0" applyFont="1" applyFill="1" applyAlignment="1">
      <alignment vertical="top"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20" sqref="B20"/>
    </sheetView>
  </sheetViews>
  <sheetFormatPr defaultRowHeight="14.4" x14ac:dyDescent="0.3"/>
  <cols>
    <col min="1" max="1" width="28" customWidth="1"/>
    <col min="2" max="2" width="110" customWidth="1"/>
  </cols>
  <sheetData>
    <row r="1" spans="1:2" x14ac:dyDescent="0.3">
      <c r="A1" s="1" t="s">
        <v>0</v>
      </c>
      <c r="B1" s="2" t="s">
        <v>1</v>
      </c>
    </row>
    <row r="2" spans="1:2" ht="43.2" x14ac:dyDescent="0.3">
      <c r="A2" s="1" t="s">
        <v>2</v>
      </c>
      <c r="B2" s="2" t="s">
        <v>182</v>
      </c>
    </row>
    <row r="3" spans="1:2" x14ac:dyDescent="0.3">
      <c r="A3" s="1" t="s">
        <v>3</v>
      </c>
      <c r="B3" s="2" t="s">
        <v>4</v>
      </c>
    </row>
    <row r="4" spans="1:2" ht="43.2" x14ac:dyDescent="0.3">
      <c r="A4" s="1" t="s">
        <v>5</v>
      </c>
      <c r="B4" s="2" t="s">
        <v>196</v>
      </c>
    </row>
    <row r="5" spans="1:2" x14ac:dyDescent="0.3">
      <c r="A5" s="1" t="s">
        <v>6</v>
      </c>
      <c r="B5" s="2" t="s">
        <v>7</v>
      </c>
    </row>
    <row r="6" spans="1:2" x14ac:dyDescent="0.3">
      <c r="A6" s="1" t="s">
        <v>8</v>
      </c>
      <c r="B6"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tabSelected="1" workbookViewId="0">
      <pane ySplit="1" topLeftCell="A2" activePane="bottomLeft" state="frozen"/>
      <selection pane="bottomLeft" activeCell="F12" sqref="F12"/>
    </sheetView>
  </sheetViews>
  <sheetFormatPr defaultRowHeight="14.4" x14ac:dyDescent="0.3"/>
  <cols>
    <col min="1" max="1" width="14" customWidth="1"/>
    <col min="2" max="2" width="45" customWidth="1"/>
    <col min="3" max="3" width="31" customWidth="1"/>
    <col min="4" max="4" width="45" customWidth="1"/>
    <col min="5" max="5" width="10" customWidth="1"/>
    <col min="6" max="6" width="41" customWidth="1"/>
    <col min="7" max="7" width="13" customWidth="1"/>
    <col min="8" max="8" width="40" customWidth="1"/>
    <col min="9" max="9" width="10" customWidth="1"/>
  </cols>
  <sheetData>
    <row r="1" spans="1:9" x14ac:dyDescent="0.3">
      <c r="A1" s="3" t="s">
        <v>10</v>
      </c>
      <c r="B1" s="3" t="s">
        <v>11</v>
      </c>
      <c r="C1" s="3" t="s">
        <v>12</v>
      </c>
      <c r="D1" s="3" t="s">
        <v>13</v>
      </c>
      <c r="E1" s="3" t="s">
        <v>14</v>
      </c>
      <c r="F1" s="3" t="s">
        <v>15</v>
      </c>
      <c r="G1" s="3" t="s">
        <v>16</v>
      </c>
      <c r="H1" s="3" t="s">
        <v>17</v>
      </c>
      <c r="I1" s="3" t="s">
        <v>18</v>
      </c>
    </row>
    <row r="2" spans="1:9" ht="57.6" x14ac:dyDescent="0.3">
      <c r="A2" s="2" t="s">
        <v>19</v>
      </c>
      <c r="B2" s="2" t="s">
        <v>20</v>
      </c>
      <c r="C2" s="2" t="s">
        <v>21</v>
      </c>
      <c r="D2" s="2" t="s">
        <v>180</v>
      </c>
      <c r="E2" s="2">
        <v>8</v>
      </c>
      <c r="F2" s="2" t="s">
        <v>22</v>
      </c>
      <c r="G2" s="2">
        <v>4</v>
      </c>
      <c r="H2" s="2">
        <v>8</v>
      </c>
      <c r="I2" s="2">
        <f>E2*G2*H2</f>
        <v>256</v>
      </c>
    </row>
    <row r="3" spans="1:9" ht="57.6" x14ac:dyDescent="0.3">
      <c r="A3" s="2" t="s">
        <v>23</v>
      </c>
      <c r="B3" s="2" t="s">
        <v>24</v>
      </c>
      <c r="C3" s="2" t="s">
        <v>25</v>
      </c>
      <c r="D3" s="2" t="s">
        <v>181</v>
      </c>
      <c r="E3" s="2">
        <v>7</v>
      </c>
      <c r="F3" s="2" t="s">
        <v>197</v>
      </c>
      <c r="G3" s="2">
        <v>4</v>
      </c>
      <c r="H3" s="2">
        <v>8</v>
      </c>
      <c r="I3" s="2">
        <f t="shared" ref="I3:I6" si="0">E3*G3*H3</f>
        <v>224</v>
      </c>
    </row>
    <row r="4" spans="1:9" ht="28.8" x14ac:dyDescent="0.3">
      <c r="A4" s="2" t="s">
        <v>27</v>
      </c>
      <c r="B4" s="2" t="s">
        <v>28</v>
      </c>
      <c r="C4" s="2" t="s">
        <v>21</v>
      </c>
      <c r="D4" s="2" t="s">
        <v>29</v>
      </c>
      <c r="E4" s="2">
        <v>8</v>
      </c>
      <c r="F4" s="2" t="s">
        <v>30</v>
      </c>
      <c r="G4" s="2">
        <v>3</v>
      </c>
      <c r="H4" s="2">
        <v>9</v>
      </c>
      <c r="I4" s="2">
        <f t="shared" si="0"/>
        <v>216</v>
      </c>
    </row>
    <row r="5" spans="1:9" x14ac:dyDescent="0.3">
      <c r="A5" s="2" t="s">
        <v>31</v>
      </c>
      <c r="B5" s="2" t="s">
        <v>32</v>
      </c>
      <c r="C5" s="2" t="s">
        <v>33</v>
      </c>
      <c r="D5" s="2" t="s">
        <v>34</v>
      </c>
      <c r="E5" s="2">
        <v>7</v>
      </c>
      <c r="F5" s="2" t="s">
        <v>35</v>
      </c>
      <c r="G5" s="2">
        <v>3</v>
      </c>
      <c r="H5" s="2">
        <v>8</v>
      </c>
      <c r="I5" s="2">
        <f t="shared" si="0"/>
        <v>168</v>
      </c>
    </row>
    <row r="6" spans="1:9" x14ac:dyDescent="0.3">
      <c r="A6" s="2" t="s">
        <v>36</v>
      </c>
      <c r="B6" s="2" t="s">
        <v>37</v>
      </c>
      <c r="C6" s="2" t="s">
        <v>38</v>
      </c>
      <c r="D6" s="2" t="s">
        <v>39</v>
      </c>
      <c r="E6" s="2">
        <v>6</v>
      </c>
      <c r="F6" s="2" t="s">
        <v>40</v>
      </c>
      <c r="G6" s="2">
        <v>2</v>
      </c>
      <c r="H6" s="2">
        <v>7</v>
      </c>
      <c r="I6" s="2">
        <f t="shared" si="0"/>
        <v>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workbookViewId="0">
      <pane ySplit="1" topLeftCell="A2" activePane="bottomLeft" state="frozen"/>
      <selection pane="bottomLeft" activeCell="C9" sqref="C9"/>
    </sheetView>
  </sheetViews>
  <sheetFormatPr defaultRowHeight="14.4" x14ac:dyDescent="0.3"/>
  <cols>
    <col min="1" max="1" width="10" customWidth="1"/>
    <col min="2" max="2" width="37" customWidth="1"/>
    <col min="3" max="4" width="45" customWidth="1"/>
    <col min="5" max="5" width="10" customWidth="1"/>
    <col min="6" max="6" width="23" customWidth="1"/>
    <col min="7" max="7" width="21" customWidth="1"/>
    <col min="8" max="8" width="45" customWidth="1"/>
  </cols>
  <sheetData>
    <row r="1" spans="1:8" x14ac:dyDescent="0.3">
      <c r="A1" s="3" t="s">
        <v>41</v>
      </c>
      <c r="B1" s="3" t="s">
        <v>42</v>
      </c>
      <c r="C1" s="3" t="s">
        <v>43</v>
      </c>
      <c r="D1" s="3" t="s">
        <v>44</v>
      </c>
      <c r="E1" s="3" t="s">
        <v>45</v>
      </c>
      <c r="F1" s="3" t="s">
        <v>46</v>
      </c>
      <c r="G1" s="3" t="s">
        <v>47</v>
      </c>
      <c r="H1" s="3" t="s">
        <v>48</v>
      </c>
    </row>
    <row r="2" spans="1:8" ht="100.8" x14ac:dyDescent="0.3">
      <c r="A2" s="2" t="s">
        <v>49</v>
      </c>
      <c r="B2" s="2" t="s">
        <v>50</v>
      </c>
      <c r="C2" s="2" t="s">
        <v>183</v>
      </c>
      <c r="D2" s="2" t="s">
        <v>51</v>
      </c>
      <c r="E2" s="2" t="s">
        <v>52</v>
      </c>
      <c r="F2" s="2" t="s">
        <v>53</v>
      </c>
      <c r="G2" s="2" t="s">
        <v>54</v>
      </c>
      <c r="H2" s="2" t="s">
        <v>55</v>
      </c>
    </row>
    <row r="3" spans="1:8" ht="100.8" x14ac:dyDescent="0.3">
      <c r="A3" s="2" t="s">
        <v>56</v>
      </c>
      <c r="B3" s="2" t="s">
        <v>57</v>
      </c>
      <c r="C3" s="2" t="s">
        <v>184</v>
      </c>
      <c r="D3" s="2" t="s">
        <v>58</v>
      </c>
      <c r="E3" s="2" t="s">
        <v>52</v>
      </c>
      <c r="F3" s="2" t="s">
        <v>59</v>
      </c>
      <c r="G3" s="2" t="s">
        <v>54</v>
      </c>
      <c r="H3" s="2" t="s">
        <v>60</v>
      </c>
    </row>
    <row r="4" spans="1:8" x14ac:dyDescent="0.3">
      <c r="A4" s="2" t="s">
        <v>61</v>
      </c>
      <c r="B4" s="2" t="s">
        <v>62</v>
      </c>
      <c r="C4" s="2" t="s">
        <v>63</v>
      </c>
      <c r="D4" s="2" t="s">
        <v>64</v>
      </c>
      <c r="E4" s="2" t="s">
        <v>65</v>
      </c>
      <c r="F4" s="2" t="s">
        <v>66</v>
      </c>
      <c r="G4" s="2" t="s">
        <v>54</v>
      </c>
      <c r="H4" s="2" t="s">
        <v>67</v>
      </c>
    </row>
    <row r="5" spans="1:8" ht="28.8" x14ac:dyDescent="0.3">
      <c r="A5" s="2" t="s">
        <v>68</v>
      </c>
      <c r="B5" s="2" t="s">
        <v>69</v>
      </c>
      <c r="C5" s="2" t="s">
        <v>70</v>
      </c>
      <c r="D5" s="2" t="s">
        <v>71</v>
      </c>
      <c r="E5" s="2" t="s">
        <v>52</v>
      </c>
      <c r="F5" s="2" t="s">
        <v>72</v>
      </c>
      <c r="G5" s="2" t="s">
        <v>73</v>
      </c>
      <c r="H5" s="2" t="s">
        <v>74</v>
      </c>
    </row>
    <row r="6" spans="1:8" ht="28.8" x14ac:dyDescent="0.3">
      <c r="A6" s="2" t="s">
        <v>75</v>
      </c>
      <c r="B6" s="2" t="s">
        <v>76</v>
      </c>
      <c r="C6" s="2" t="s">
        <v>77</v>
      </c>
      <c r="D6" s="2" t="s">
        <v>78</v>
      </c>
      <c r="E6" s="2" t="s">
        <v>52</v>
      </c>
      <c r="F6" s="2" t="s">
        <v>79</v>
      </c>
      <c r="G6" s="2" t="s">
        <v>80</v>
      </c>
      <c r="H6" s="2" t="s">
        <v>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workbookViewId="0">
      <pane ySplit="1" topLeftCell="A2" activePane="bottomLeft" state="frozen"/>
      <selection pane="bottomLeft" activeCell="D11" sqref="D11"/>
    </sheetView>
  </sheetViews>
  <sheetFormatPr defaultRowHeight="14.4" x14ac:dyDescent="0.3"/>
  <cols>
    <col min="1" max="1" width="29" customWidth="1"/>
    <col min="2" max="2" width="18" customWidth="1"/>
    <col min="3" max="3" width="19" customWidth="1"/>
    <col min="4" max="4" width="13" customWidth="1"/>
    <col min="5" max="5" width="10" customWidth="1"/>
    <col min="6" max="6" width="45" customWidth="1"/>
  </cols>
  <sheetData>
    <row r="1" spans="1:6" x14ac:dyDescent="0.3">
      <c r="A1" s="3" t="s">
        <v>42</v>
      </c>
      <c r="B1" s="3" t="s">
        <v>82</v>
      </c>
      <c r="C1" s="3" t="s">
        <v>83</v>
      </c>
      <c r="D1" s="3" t="s">
        <v>84</v>
      </c>
      <c r="E1" s="3" t="s">
        <v>45</v>
      </c>
      <c r="F1" s="3" t="s">
        <v>85</v>
      </c>
    </row>
    <row r="2" spans="1:6" ht="43.2" x14ac:dyDescent="0.3">
      <c r="A2" s="2" t="s">
        <v>50</v>
      </c>
      <c r="B2" s="2" t="s">
        <v>52</v>
      </c>
      <c r="C2" s="2" t="s">
        <v>185</v>
      </c>
      <c r="D2" s="2" t="s">
        <v>52</v>
      </c>
      <c r="E2" s="2" t="s">
        <v>49</v>
      </c>
      <c r="F2" s="2" t="s">
        <v>186</v>
      </c>
    </row>
    <row r="3" spans="1:6" ht="43.2" x14ac:dyDescent="0.3">
      <c r="A3" s="2" t="s">
        <v>26</v>
      </c>
      <c r="B3" s="2" t="s">
        <v>52</v>
      </c>
      <c r="C3" s="2" t="s">
        <v>185</v>
      </c>
      <c r="D3" s="2" t="s">
        <v>52</v>
      </c>
      <c r="E3" s="2" t="s">
        <v>56</v>
      </c>
      <c r="F3" s="2" t="s">
        <v>187</v>
      </c>
    </row>
    <row r="4" spans="1:6" x14ac:dyDescent="0.3">
      <c r="A4" s="2" t="s">
        <v>86</v>
      </c>
      <c r="B4" s="2" t="s">
        <v>52</v>
      </c>
      <c r="C4" s="2" t="s">
        <v>65</v>
      </c>
      <c r="D4" s="2" t="s">
        <v>52</v>
      </c>
      <c r="E4" s="2" t="s">
        <v>61</v>
      </c>
      <c r="F4" s="2" t="s">
        <v>87</v>
      </c>
    </row>
    <row r="5" spans="1:6" x14ac:dyDescent="0.3">
      <c r="A5" s="2" t="s">
        <v>76</v>
      </c>
      <c r="B5" s="2" t="s">
        <v>65</v>
      </c>
      <c r="C5" s="2" t="s">
        <v>52</v>
      </c>
      <c r="D5" s="2" t="s">
        <v>52</v>
      </c>
      <c r="E5" s="2" t="s">
        <v>68</v>
      </c>
      <c r="F5" s="2" t="s">
        <v>88</v>
      </c>
    </row>
    <row r="6" spans="1:6" x14ac:dyDescent="0.3">
      <c r="A6" s="2" t="s">
        <v>89</v>
      </c>
      <c r="B6" s="2" t="s">
        <v>65</v>
      </c>
      <c r="C6" s="2" t="s">
        <v>52</v>
      </c>
      <c r="D6" s="2" t="s">
        <v>65</v>
      </c>
      <c r="E6" s="2" t="s">
        <v>75</v>
      </c>
      <c r="F6" s="2" t="s">
        <v>90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pane ySplit="1" topLeftCell="A2" activePane="bottomLeft" state="frozen"/>
      <selection pane="bottomLeft" activeCell="D8" sqref="D8"/>
    </sheetView>
  </sheetViews>
  <sheetFormatPr defaultRowHeight="14.4" x14ac:dyDescent="0.3"/>
  <cols>
    <col min="1" max="1" width="21" customWidth="1"/>
    <col min="2" max="2" width="36" customWidth="1"/>
    <col min="3" max="3" width="20" customWidth="1"/>
    <col min="4" max="4" width="28" customWidth="1"/>
    <col min="5" max="5" width="24" customWidth="1"/>
  </cols>
  <sheetData>
    <row r="1" spans="1:5" x14ac:dyDescent="0.3">
      <c r="A1" s="3" t="s">
        <v>91</v>
      </c>
      <c r="B1" s="3" t="s">
        <v>92</v>
      </c>
      <c r="C1" s="3" t="s">
        <v>93</v>
      </c>
      <c r="D1" s="3" t="s">
        <v>94</v>
      </c>
      <c r="E1" s="3" t="s">
        <v>95</v>
      </c>
    </row>
    <row r="2" spans="1:5" ht="43.2" x14ac:dyDescent="0.3">
      <c r="A2" s="2" t="s">
        <v>96</v>
      </c>
      <c r="B2" s="2" t="s">
        <v>190</v>
      </c>
      <c r="C2" s="2">
        <v>0.92207112083398446</v>
      </c>
      <c r="D2" s="2">
        <v>0</v>
      </c>
      <c r="E2" s="2">
        <v>174549</v>
      </c>
    </row>
    <row r="3" spans="1:5" ht="43.2" x14ac:dyDescent="0.3">
      <c r="A3" s="2" t="s">
        <v>97</v>
      </c>
      <c r="B3" s="2" t="s">
        <v>191</v>
      </c>
      <c r="C3" s="2">
        <v>0.92596756479228515</v>
      </c>
      <c r="D3" s="2">
        <v>0.05</v>
      </c>
      <c r="E3" s="2">
        <v>165821.54999999999</v>
      </c>
    </row>
    <row r="4" spans="1:5" ht="43.2" x14ac:dyDescent="0.3">
      <c r="A4" s="2" t="s">
        <v>98</v>
      </c>
      <c r="B4" s="2" t="s">
        <v>192</v>
      </c>
      <c r="C4" s="2">
        <v>0.92986400875058595</v>
      </c>
      <c r="D4" s="2">
        <v>0.1</v>
      </c>
      <c r="E4" s="2">
        <v>157094.1</v>
      </c>
    </row>
    <row r="5" spans="1:5" ht="43.2" x14ac:dyDescent="0.3">
      <c r="A5" s="2" t="s">
        <v>99</v>
      </c>
      <c r="B5" s="2" t="s">
        <v>193</v>
      </c>
      <c r="C5" s="2">
        <v>0.93376045270888675</v>
      </c>
      <c r="D5" s="2">
        <v>0.15</v>
      </c>
      <c r="E5" s="2">
        <v>148366.65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pane ySplit="1" topLeftCell="A2" activePane="bottomLeft" state="frozen"/>
      <selection pane="bottomLeft"/>
    </sheetView>
  </sheetViews>
  <sheetFormatPr defaultRowHeight="14.4" x14ac:dyDescent="0.3"/>
  <cols>
    <col min="1" max="1" width="10" customWidth="1"/>
    <col min="2" max="2" width="21" customWidth="1"/>
    <col min="3" max="3" width="45" customWidth="1"/>
    <col min="4" max="4" width="23" customWidth="1"/>
  </cols>
  <sheetData>
    <row r="1" spans="1:4" x14ac:dyDescent="0.3">
      <c r="A1" s="3" t="s">
        <v>100</v>
      </c>
      <c r="B1" s="3" t="s">
        <v>101</v>
      </c>
      <c r="C1" s="3" t="s">
        <v>102</v>
      </c>
      <c r="D1" s="3" t="s">
        <v>103</v>
      </c>
    </row>
    <row r="2" spans="1:4" ht="28.8" x14ac:dyDescent="0.3">
      <c r="A2" s="2" t="s">
        <v>49</v>
      </c>
      <c r="B2" s="2" t="s">
        <v>104</v>
      </c>
      <c r="C2" s="2" t="s">
        <v>105</v>
      </c>
      <c r="D2" s="2" t="s">
        <v>106</v>
      </c>
    </row>
    <row r="3" spans="1:4" x14ac:dyDescent="0.3">
      <c r="A3" s="2" t="s">
        <v>56</v>
      </c>
      <c r="B3" s="2" t="s">
        <v>107</v>
      </c>
      <c r="C3" s="2" t="s">
        <v>108</v>
      </c>
      <c r="D3" s="2" t="s">
        <v>109</v>
      </c>
    </row>
    <row r="4" spans="1:4" x14ac:dyDescent="0.3">
      <c r="A4" s="2" t="s">
        <v>61</v>
      </c>
      <c r="B4" s="2" t="s">
        <v>110</v>
      </c>
      <c r="C4" s="2" t="s">
        <v>111</v>
      </c>
      <c r="D4" s="2" t="s">
        <v>112</v>
      </c>
    </row>
    <row r="5" spans="1:4" x14ac:dyDescent="0.3">
      <c r="A5" s="2" t="s">
        <v>68</v>
      </c>
      <c r="B5" s="2" t="s">
        <v>113</v>
      </c>
      <c r="C5" s="2" t="s">
        <v>114</v>
      </c>
      <c r="D5" s="2" t="s">
        <v>115</v>
      </c>
    </row>
    <row r="6" spans="1:4" x14ac:dyDescent="0.3">
      <c r="A6" s="2" t="s">
        <v>75</v>
      </c>
      <c r="B6" s="2" t="s">
        <v>116</v>
      </c>
      <c r="C6" s="2" t="s">
        <v>117</v>
      </c>
      <c r="D6" s="2" t="s">
        <v>118</v>
      </c>
    </row>
    <row r="7" spans="1:4" x14ac:dyDescent="0.3">
      <c r="A7" s="2" t="s">
        <v>119</v>
      </c>
      <c r="B7" s="2" t="s">
        <v>120</v>
      </c>
      <c r="C7" s="2" t="s">
        <v>121</v>
      </c>
      <c r="D7" s="2" t="s">
        <v>122</v>
      </c>
    </row>
    <row r="8" spans="1:4" x14ac:dyDescent="0.3">
      <c r="A8" s="2" t="s">
        <v>123</v>
      </c>
      <c r="B8" s="2" t="s">
        <v>124</v>
      </c>
      <c r="C8" s="2" t="s">
        <v>125</v>
      </c>
      <c r="D8" s="2" t="s">
        <v>126</v>
      </c>
    </row>
    <row r="9" spans="1:4" x14ac:dyDescent="0.3">
      <c r="A9" s="2" t="s">
        <v>127</v>
      </c>
      <c r="B9" s="2" t="s">
        <v>128</v>
      </c>
      <c r="C9" s="2" t="s">
        <v>129</v>
      </c>
      <c r="D9" s="2" t="s">
        <v>130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
  <sheetViews>
    <sheetView workbookViewId="0">
      <pane ySplit="1" topLeftCell="A2" activePane="bottomLeft" state="frozen"/>
      <selection pane="bottomLeft" activeCell="E19" sqref="E19"/>
    </sheetView>
  </sheetViews>
  <sheetFormatPr defaultRowHeight="14.4" x14ac:dyDescent="0.3"/>
  <cols>
    <col min="1" max="1" width="35" customWidth="1"/>
    <col min="2" max="2" width="15" customWidth="1"/>
    <col min="3" max="3" width="14" customWidth="1"/>
    <col min="4" max="4" width="38" customWidth="1"/>
    <col min="5" max="5" width="45" customWidth="1"/>
    <col min="6" max="6" width="18" customWidth="1"/>
  </cols>
  <sheetData>
    <row r="1" spans="1:6" x14ac:dyDescent="0.3">
      <c r="A1" s="3" t="s">
        <v>131</v>
      </c>
      <c r="B1" s="3" t="s">
        <v>132</v>
      </c>
      <c r="C1" s="3" t="s">
        <v>133</v>
      </c>
      <c r="D1" s="3" t="s">
        <v>134</v>
      </c>
      <c r="E1" s="3" t="s">
        <v>135</v>
      </c>
      <c r="F1" s="3" t="s">
        <v>46</v>
      </c>
    </row>
    <row r="2" spans="1:6" ht="57.6" x14ac:dyDescent="0.3">
      <c r="A2" s="2" t="s">
        <v>136</v>
      </c>
      <c r="B2" s="2" t="s">
        <v>188</v>
      </c>
      <c r="C2" s="2" t="s">
        <v>137</v>
      </c>
      <c r="D2" s="2" t="s">
        <v>138</v>
      </c>
      <c r="E2" s="2" t="s">
        <v>139</v>
      </c>
      <c r="F2" s="2" t="s">
        <v>79</v>
      </c>
    </row>
    <row r="3" spans="1:6" ht="57.6" x14ac:dyDescent="0.3">
      <c r="A3" s="2" t="s">
        <v>140</v>
      </c>
      <c r="B3" s="2" t="s">
        <v>189</v>
      </c>
      <c r="C3" s="2" t="s">
        <v>137</v>
      </c>
      <c r="D3" s="2" t="s">
        <v>138</v>
      </c>
      <c r="E3" s="2" t="s">
        <v>141</v>
      </c>
      <c r="F3" s="2" t="s">
        <v>66</v>
      </c>
    </row>
    <row r="4" spans="1:6" x14ac:dyDescent="0.3">
      <c r="A4" s="2" t="s">
        <v>142</v>
      </c>
      <c r="B4" s="2" t="s">
        <v>143</v>
      </c>
      <c r="C4" s="2" t="s">
        <v>137</v>
      </c>
      <c r="D4" s="2" t="s">
        <v>144</v>
      </c>
      <c r="E4" s="2" t="s">
        <v>145</v>
      </c>
      <c r="F4" s="2" t="s">
        <v>146</v>
      </c>
    </row>
    <row r="5" spans="1:6" x14ac:dyDescent="0.3">
      <c r="A5" s="2" t="s">
        <v>147</v>
      </c>
      <c r="B5" s="2" t="s">
        <v>143</v>
      </c>
      <c r="C5" s="2" t="s">
        <v>137</v>
      </c>
      <c r="D5" s="2" t="s">
        <v>148</v>
      </c>
      <c r="E5" s="2" t="s">
        <v>149</v>
      </c>
      <c r="F5" s="2" t="s">
        <v>79</v>
      </c>
    </row>
    <row r="6" spans="1:6" x14ac:dyDescent="0.3">
      <c r="A6" s="2" t="s">
        <v>150</v>
      </c>
      <c r="B6" s="2" t="s">
        <v>151</v>
      </c>
      <c r="C6" s="2" t="s">
        <v>137</v>
      </c>
      <c r="D6" s="2" t="s">
        <v>152</v>
      </c>
      <c r="E6" s="2" t="s">
        <v>153</v>
      </c>
      <c r="F6" s="2" t="s">
        <v>154</v>
      </c>
    </row>
    <row r="7" spans="1:6" x14ac:dyDescent="0.3">
      <c r="A7" s="2" t="s">
        <v>155</v>
      </c>
      <c r="B7" s="2" t="s">
        <v>156</v>
      </c>
      <c r="C7" s="2" t="s">
        <v>157</v>
      </c>
      <c r="D7" s="2" t="s">
        <v>158</v>
      </c>
      <c r="E7" s="2" t="s">
        <v>159</v>
      </c>
      <c r="F7" s="2" t="s">
        <v>160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
  <sheetViews>
    <sheetView workbookViewId="0">
      <pane ySplit="1" topLeftCell="A2" activePane="bottomLeft" state="frozen"/>
      <selection pane="bottomLeft" activeCell="H16" sqref="H16"/>
    </sheetView>
  </sheetViews>
  <sheetFormatPr defaultRowHeight="14.4" x14ac:dyDescent="0.3"/>
  <cols>
    <col min="1" max="1" width="11" customWidth="1"/>
    <col min="2" max="6" width="10" customWidth="1"/>
    <col min="7" max="8" width="20" customWidth="1"/>
    <col min="9" max="9" width="21" customWidth="1"/>
  </cols>
  <sheetData>
    <row r="1" spans="1:9" x14ac:dyDescent="0.3">
      <c r="A1" s="3" t="s">
        <v>161</v>
      </c>
      <c r="B1" s="3" t="s">
        <v>162</v>
      </c>
      <c r="C1" s="3" t="s">
        <v>163</v>
      </c>
      <c r="D1" s="3" t="s">
        <v>164</v>
      </c>
      <c r="E1" s="3" t="s">
        <v>165</v>
      </c>
      <c r="F1" s="3" t="s">
        <v>166</v>
      </c>
      <c r="G1" s="3" t="s">
        <v>93</v>
      </c>
      <c r="H1" s="3" t="s">
        <v>167</v>
      </c>
      <c r="I1" s="3" t="s">
        <v>168</v>
      </c>
    </row>
    <row r="2" spans="1:9" x14ac:dyDescent="0.3">
      <c r="A2" s="2" t="s">
        <v>169</v>
      </c>
      <c r="B2" s="2">
        <v>3356</v>
      </c>
      <c r="C2" s="2">
        <v>514941</v>
      </c>
      <c r="D2" s="2">
        <v>475205</v>
      </c>
      <c r="E2" s="2">
        <v>39736</v>
      </c>
      <c r="F2" s="2">
        <v>2930</v>
      </c>
      <c r="G2" s="2">
        <v>0.92283387805593264</v>
      </c>
      <c r="H2" s="2">
        <v>0.87306317044100124</v>
      </c>
      <c r="I2" s="2">
        <v>0.2276495425353339</v>
      </c>
    </row>
    <row r="3" spans="1:9" x14ac:dyDescent="0.3">
      <c r="A3" s="2" t="s">
        <v>170</v>
      </c>
      <c r="B3" s="2">
        <v>2945</v>
      </c>
      <c r="C3" s="2">
        <v>451194</v>
      </c>
      <c r="D3" s="2">
        <v>414081</v>
      </c>
      <c r="E3" s="2">
        <v>37113</v>
      </c>
      <c r="F3" s="2">
        <v>2584</v>
      </c>
      <c r="G3" s="2">
        <v>0.91774491682070236</v>
      </c>
      <c r="H3" s="2">
        <v>0.8774193548387097</v>
      </c>
      <c r="I3" s="2">
        <v>0.21262224361067669</v>
      </c>
    </row>
    <row r="4" spans="1:9" x14ac:dyDescent="0.3">
      <c r="A4" s="2" t="s">
        <v>171</v>
      </c>
      <c r="B4" s="2">
        <v>2515</v>
      </c>
      <c r="C4" s="2">
        <v>390073</v>
      </c>
      <c r="D4" s="2">
        <v>356190</v>
      </c>
      <c r="E4" s="2">
        <v>33883</v>
      </c>
      <c r="F4" s="2">
        <v>2197</v>
      </c>
      <c r="G4" s="2">
        <v>0.91313677183501551</v>
      </c>
      <c r="H4" s="2">
        <v>0.87355864811133199</v>
      </c>
      <c r="I4" s="2">
        <v>0.19411741115675249</v>
      </c>
    </row>
    <row r="5" spans="1:9" x14ac:dyDescent="0.3">
      <c r="A5" s="2" t="s">
        <v>172</v>
      </c>
      <c r="B5" s="2">
        <v>3001</v>
      </c>
      <c r="C5" s="2">
        <v>454631</v>
      </c>
      <c r="D5" s="2">
        <v>421946</v>
      </c>
      <c r="E5" s="2">
        <v>32685</v>
      </c>
      <c r="F5" s="2">
        <v>2654</v>
      </c>
      <c r="G5" s="2">
        <v>0.92810653035098789</v>
      </c>
      <c r="H5" s="2">
        <v>0.88437187604131962</v>
      </c>
      <c r="I5" s="2">
        <v>0.18725400890294419</v>
      </c>
    </row>
    <row r="6" spans="1:9" x14ac:dyDescent="0.3">
      <c r="A6" s="2" t="s">
        <v>173</v>
      </c>
      <c r="B6" s="2">
        <v>2871</v>
      </c>
      <c r="C6" s="2">
        <v>429011</v>
      </c>
      <c r="D6" s="2">
        <v>397879</v>
      </c>
      <c r="E6" s="2">
        <v>31132</v>
      </c>
      <c r="F6" s="2">
        <v>2530</v>
      </c>
      <c r="G6" s="2">
        <v>0.92743309612107849</v>
      </c>
      <c r="H6" s="2">
        <v>0.88122605363984674</v>
      </c>
      <c r="I6" s="2">
        <v>0.1783567937942927</v>
      </c>
    </row>
    <row r="8" spans="1:9" x14ac:dyDescent="0.3">
      <c r="A8" s="4" t="s">
        <v>194</v>
      </c>
      <c r="B8" s="4"/>
      <c r="C8" s="4"/>
      <c r="D8" s="4"/>
      <c r="E8" s="4"/>
      <c r="F8" s="4"/>
      <c r="G8" s="4"/>
      <c r="H8" s="4"/>
    </row>
    <row r="9" spans="1:9" x14ac:dyDescent="0.3">
      <c r="A9" s="4"/>
      <c r="B9" s="4"/>
      <c r="C9" s="4"/>
      <c r="D9" s="4"/>
      <c r="E9" s="4"/>
      <c r="F9" s="4"/>
      <c r="G9" s="4"/>
      <c r="H9" s="4"/>
    </row>
    <row r="10" spans="1:9" x14ac:dyDescent="0.3">
      <c r="A10" s="4"/>
      <c r="B10" s="4"/>
      <c r="C10" s="4"/>
      <c r="D10" s="4"/>
      <c r="E10" s="4"/>
      <c r="F10" s="4"/>
      <c r="G10" s="4"/>
      <c r="H10" s="4"/>
    </row>
    <row r="11" spans="1:9" x14ac:dyDescent="0.3">
      <c r="A11" s="4"/>
      <c r="B11" s="4"/>
      <c r="C11" s="4"/>
      <c r="D11" s="4"/>
      <c r="E11" s="4"/>
      <c r="F11" s="4"/>
      <c r="G11" s="4"/>
      <c r="H11" s="4"/>
    </row>
  </sheetData>
  <mergeCells count="1">
    <mergeCell ref="A8:H1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
  <sheetViews>
    <sheetView workbookViewId="0">
      <pane ySplit="1" topLeftCell="A2" activePane="bottomLeft" state="frozen"/>
      <selection pane="bottomLeft" activeCell="F19" sqref="F19"/>
    </sheetView>
  </sheetViews>
  <sheetFormatPr defaultRowHeight="14.4" x14ac:dyDescent="0.3"/>
  <cols>
    <col min="1" max="1" width="13" customWidth="1"/>
    <col min="2" max="5" width="10" customWidth="1"/>
    <col min="6" max="7" width="20" customWidth="1"/>
  </cols>
  <sheetData>
    <row r="1" spans="1:7" x14ac:dyDescent="0.3">
      <c r="A1" s="3" t="s">
        <v>174</v>
      </c>
      <c r="B1" s="3" t="s">
        <v>162</v>
      </c>
      <c r="C1" s="3" t="s">
        <v>163</v>
      </c>
      <c r="D1" s="3" t="s">
        <v>164</v>
      </c>
      <c r="E1" s="3" t="s">
        <v>165</v>
      </c>
      <c r="F1" s="3" t="s">
        <v>167</v>
      </c>
      <c r="G1" s="3" t="s">
        <v>93</v>
      </c>
    </row>
    <row r="2" spans="1:7" x14ac:dyDescent="0.3">
      <c r="A2" s="2" t="s">
        <v>175</v>
      </c>
      <c r="B2" s="2">
        <v>2938</v>
      </c>
      <c r="C2" s="2">
        <v>98030</v>
      </c>
      <c r="D2" s="2">
        <v>89997</v>
      </c>
      <c r="E2" s="2">
        <v>8033</v>
      </c>
      <c r="F2" s="2">
        <v>0.87644656228727025</v>
      </c>
      <c r="G2" s="2">
        <v>0.91805569723554015</v>
      </c>
    </row>
    <row r="3" spans="1:7" x14ac:dyDescent="0.3">
      <c r="A3" s="2" t="s">
        <v>176</v>
      </c>
      <c r="B3" s="2">
        <v>2937</v>
      </c>
      <c r="C3" s="2">
        <v>272818</v>
      </c>
      <c r="D3" s="2">
        <v>250343</v>
      </c>
      <c r="E3" s="2">
        <v>22475</v>
      </c>
      <c r="F3" s="2">
        <v>0.87504256043581885</v>
      </c>
      <c r="G3" s="2">
        <v>0.91761907205536286</v>
      </c>
    </row>
    <row r="4" spans="1:7" x14ac:dyDescent="0.3">
      <c r="A4" s="2" t="s">
        <v>177</v>
      </c>
      <c r="B4" s="2">
        <v>2938</v>
      </c>
      <c r="C4" s="2">
        <v>449048</v>
      </c>
      <c r="D4" s="2">
        <v>414977</v>
      </c>
      <c r="E4" s="2">
        <v>34071</v>
      </c>
      <c r="F4" s="2">
        <v>0.88053097345132747</v>
      </c>
      <c r="G4" s="2">
        <v>0.92412615132457998</v>
      </c>
    </row>
    <row r="5" spans="1:7" x14ac:dyDescent="0.3">
      <c r="A5" s="2" t="s">
        <v>178</v>
      </c>
      <c r="B5" s="2">
        <v>2937</v>
      </c>
      <c r="C5" s="2">
        <v>621944</v>
      </c>
      <c r="D5" s="2">
        <v>571235</v>
      </c>
      <c r="E5" s="2">
        <v>50709</v>
      </c>
      <c r="F5" s="2">
        <v>0.87402110997616611</v>
      </c>
      <c r="G5" s="2">
        <v>0.9184669359299229</v>
      </c>
    </row>
    <row r="6" spans="1:7" x14ac:dyDescent="0.3">
      <c r="A6" s="2" t="s">
        <v>179</v>
      </c>
      <c r="B6" s="2">
        <v>2938</v>
      </c>
      <c r="C6" s="2">
        <v>798010</v>
      </c>
      <c r="D6" s="2">
        <v>738749</v>
      </c>
      <c r="E6" s="2">
        <v>59261</v>
      </c>
      <c r="F6" s="2">
        <v>0.88359428182437028</v>
      </c>
      <c r="G6" s="2">
        <v>0.92573902582674406</v>
      </c>
    </row>
    <row r="9" spans="1:7" x14ac:dyDescent="0.3">
      <c r="A9" s="4" t="s">
        <v>195</v>
      </c>
      <c r="B9" s="4"/>
      <c r="C9" s="4"/>
      <c r="D9" s="4"/>
      <c r="E9" s="4"/>
      <c r="F9" s="4"/>
      <c r="G9" s="4"/>
    </row>
    <row r="10" spans="1:7" x14ac:dyDescent="0.3">
      <c r="A10" s="4"/>
      <c r="B10" s="4"/>
      <c r="C10" s="4"/>
      <c r="D10" s="4"/>
      <c r="E10" s="4"/>
      <c r="F10" s="4"/>
      <c r="G10" s="4"/>
    </row>
    <row r="11" spans="1:7" x14ac:dyDescent="0.3">
      <c r="A11" s="4"/>
      <c r="B11" s="4"/>
      <c r="C11" s="4"/>
      <c r="D11" s="4"/>
      <c r="E11" s="4"/>
      <c r="F11" s="4"/>
      <c r="G11" s="4"/>
    </row>
    <row r="12" spans="1:7" x14ac:dyDescent="0.3">
      <c r="A12" s="4"/>
      <c r="B12" s="4"/>
      <c r="C12" s="4"/>
      <c r="D12" s="4"/>
      <c r="E12" s="4"/>
      <c r="F12" s="4"/>
      <c r="G12" s="4"/>
    </row>
  </sheetData>
  <mergeCells count="1">
    <mergeCell ref="A9:G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Improve Overview</vt:lpstr>
      <vt:lpstr>FMEA</vt:lpstr>
      <vt:lpstr>Improvement Actions</vt:lpstr>
      <vt:lpstr>Prioritization Matrix</vt:lpstr>
      <vt:lpstr>Scenario Impact</vt:lpstr>
      <vt:lpstr>Future-State Process</vt:lpstr>
      <vt:lpstr>Control Handoff</vt:lpstr>
      <vt:lpstr>Category Baseline</vt:lpstr>
      <vt:lpstr>Order Quantity Baseline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FARHAN ABBAS RIZVI</cp:lastModifiedBy>
  <dcterms:created xsi:type="dcterms:W3CDTF">2026-10-03T16:22:23Z</dcterms:created>
  <dcterms:modified xsi:type="dcterms:W3CDTF">2026-10-13T01:45:20Z</dcterms:modified>
</cp:coreProperties>
</file>