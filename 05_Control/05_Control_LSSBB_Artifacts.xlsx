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Lean-Six-Sigma-Order-Fulfillment\05_Control\"/>
    </mc:Choice>
  </mc:AlternateContent>
  <xr:revisionPtr revIDLastSave="0" documentId="13_ncr:1_{686A94A3-5A03-4391-AE8C-AB1E45D502DA}" xr6:coauthVersionLast="47" xr6:coauthVersionMax="47" xr10:uidLastSave="{00000000-0000-0000-0000-000000000000}"/>
  <bookViews>
    <workbookView xWindow="-108" yWindow="-108" windowWidth="23256" windowHeight="12456" firstSheet="3" activeTab="6" xr2:uid="{00000000-000D-0000-FFFF-FFFF00000000}"/>
  </bookViews>
  <sheets>
    <sheet name="Control Overview" sheetId="1" r:id="rId1"/>
    <sheet name="Control Plan" sheetId="2" r:id="rId2"/>
    <sheet name="KPI Definitions" sheetId="3" r:id="rId3"/>
    <sheet name="SPC Guidance" sheetId="4" r:id="rId4"/>
    <sheet name="Reaction Plan" sheetId="5" r:id="rId5"/>
    <sheet name="Dashboard Spec" sheetId="6" r:id="rId6"/>
    <sheet name="Standardization Handoff" sheetId="7" r:id="rId7"/>
    <sheet name="DMAIC Linkage" sheetId="8" r:id="rId8"/>
    <sheet name="Baseline Trend" sheetId="9" r:id="rId9"/>
  </sheets>
  <calcPr calcId="0"/>
</workbook>
</file>

<file path=xl/sharedStrings.xml><?xml version="1.0" encoding="utf-8"?>
<sst xmlns="http://schemas.openxmlformats.org/spreadsheetml/2006/main" count="226" uniqueCount="169">
  <si>
    <t>Purpose</t>
  </si>
  <si>
    <t>Sustain the improved customer order fulfillment process through standardized KPIs, monitoring, reaction rules, and data-quality controls.</t>
  </si>
  <si>
    <t>Primary CTQ</t>
  </si>
  <si>
    <t>Customer Order Fulfillment</t>
  </si>
  <si>
    <t>Primary Y</t>
  </si>
  <si>
    <t>Customer Quantity Fill Rate</t>
  </si>
  <si>
    <t>Control principle</t>
  </si>
  <si>
    <t>Control the process using validated measures and supported factors; do not claim improvement until a real post-improvement dataset exists.</t>
  </si>
  <si>
    <t>Project limitation</t>
  </si>
  <si>
    <t>The dataset is synthetic and contains no actual post-improvement operating period. Future thresholds are therefore proposed until approved with live process data.</t>
  </si>
  <si>
    <t>KPI</t>
  </si>
  <si>
    <t>Operational Definition</t>
  </si>
  <si>
    <t>Data Source</t>
  </si>
  <si>
    <t>Frequency</t>
  </si>
  <si>
    <t>Owner</t>
  </si>
  <si>
    <t>Trigger / Threshold</t>
  </si>
  <si>
    <t>Reaction Plan</t>
  </si>
  <si>
    <t>Σ Shipped Qty / Σ Ordered Qty × 100</t>
  </si>
  <si>
    <t>Sales Orders</t>
  </si>
  <si>
    <t>Weekly</t>
  </si>
  <si>
    <t>Supply Chain / Operations</t>
  </si>
  <si>
    <t>Confirmed deterioration vs approved threshold</t>
  </si>
  <si>
    <t>Check order-size mix, category mix, backorders, partials, and shortage reasons; open corrective action if confirmed</t>
  </si>
  <si>
    <t>Complete Order Fulfillment Rate</t>
  </si>
  <si>
    <t>Complete eligible orders / eligible orders</t>
  </si>
  <si>
    <t>Below approved threshold</t>
  </si>
  <si>
    <t>Review incomplete-order Pareto and high-risk segments</t>
  </si>
  <si>
    <t>Backorder Rate</t>
  </si>
  <si>
    <t>Backorder orders / eligible orders</t>
  </si>
  <si>
    <t>Supply Chain / Planning</t>
  </si>
  <si>
    <t>Above approved threshold</t>
  </si>
  <si>
    <t>Review inventory/replenishment exceptions and shortage reasons</t>
  </si>
  <si>
    <t>Partial Fulfillment Rate</t>
  </si>
  <si>
    <t>Eligible partial orders / eligible orders</t>
  </si>
  <si>
    <t>Warehouse / Fulfillment</t>
  </si>
  <si>
    <t>Review order-size and category exception queue</t>
  </si>
  <si>
    <t>Shortage Quantity</t>
  </si>
  <si>
    <t>Σ(Order Qty − Shipped Qty) for eligible orders</t>
  </si>
  <si>
    <t>Run shortage Pareto and investigate dominant categories/order-size bands</t>
  </si>
  <si>
    <t>Shortage Reason Code Completeness</t>
  </si>
  <si>
    <t>Orders with valid shortage reason / shortage orders</t>
  </si>
  <si>
    <t>Future-state exception log</t>
  </si>
  <si>
    <t>Operations</t>
  </si>
  <si>
    <t>Below proposed 95% data-quality threshold</t>
  </si>
  <si>
    <t>Correct exception capture and retrain users if required</t>
  </si>
  <si>
    <t>Inventory Snapshot Completeness</t>
  </si>
  <si>
    <t>Orders with valid inventory-at-order snapshot / eligible orders</t>
  </si>
  <si>
    <t>Future-state inventory snapshot</t>
  </si>
  <si>
    <t>Inventory / Planning</t>
  </si>
  <si>
    <t>Investigate missing snapshot records before interpreting inventory-related variation</t>
  </si>
  <si>
    <t>Type</t>
  </si>
  <si>
    <t>Definition</t>
  </si>
  <si>
    <t>Current Baseline</t>
  </si>
  <si>
    <t>Status / Note</t>
  </si>
  <si>
    <t>Total shipped quantity ÷ total ordered quantity</t>
  </si>
  <si>
    <t>90.30% all orders; 92.21% non-cancelled</t>
  </si>
  <si>
    <t>Observed baseline; retain both views until reporting convention is approved</t>
  </si>
  <si>
    <t>Cancellation Rate</t>
  </si>
  <si>
    <t>Outcome</t>
  </si>
  <si>
    <t>Cancelled orders ÷ all orders</t>
  </si>
  <si>
    <t>2.08%</t>
  </si>
  <si>
    <t>Separate outcome; do not silently mix with fulfillment shortages</t>
  </si>
  <si>
    <t>Secondary Y</t>
  </si>
  <si>
    <t>Backorder orders ÷ eligible orders</t>
  </si>
  <si>
    <t>See Measure workbook</t>
  </si>
  <si>
    <t>Monitor separately</t>
  </si>
  <si>
    <t>Eligible partial orders ÷ eligible orders</t>
  </si>
  <si>
    <t>Supplier Fill Rate</t>
  </si>
  <si>
    <t>Context</t>
  </si>
  <si>
    <t>PO received quantity ÷ PO ordered quantity</t>
  </si>
  <si>
    <t>86.32%</t>
  </si>
  <si>
    <t>Not supported as primary discriminator in Analyze</t>
  </si>
  <si>
    <t>Metric</t>
  </si>
  <si>
    <t>Recommended Monitoring</t>
  </si>
  <si>
    <t>Rationale / Caveat</t>
  </si>
  <si>
    <t>Weekly time-series run/control chart after sufficient post-improvement observations</t>
  </si>
  <si>
    <t>Chart choice should be confirmed against live subgroup/sample structure.</t>
  </si>
  <si>
    <t>Complete Order Rate</t>
  </si>
  <si>
    <t>Weekly p-chart if subgroup counts vary; otherwise run chart initially</t>
  </si>
  <si>
    <t>Binary order-level outcome aggregated by week.</t>
  </si>
  <si>
    <t>Weekly p-chart / run chart</t>
  </si>
  <si>
    <t>Binary order-level outcome; monitor separately.</t>
  </si>
  <si>
    <t>Future-state data-quality metric; no current baseline.</t>
  </si>
  <si>
    <t>Future-state data-quality metric; current linkage is incomplete.</t>
  </si>
  <si>
    <t>Important rule</t>
  </si>
  <si>
    <t>Do not calculate control limits from the synthetic baseline and label them production limits</t>
  </si>
  <si>
    <t>Production limits should come from appropriate stable live-process data.</t>
  </si>
  <si>
    <t>Signal</t>
  </si>
  <si>
    <t>Immediate Check</t>
  </si>
  <si>
    <t>Decision Rule</t>
  </si>
  <si>
    <t>Action</t>
  </si>
  <si>
    <t>Fill rate deterioration</t>
  </si>
  <si>
    <t>Validate data + order mix</t>
  </si>
  <si>
    <t>Confirmed after data-quality check</t>
  </si>
  <si>
    <t>Run segment Pareto; review category/order-size drivers</t>
  </si>
  <si>
    <t>Backorders increase</t>
  </si>
  <si>
    <t>Check shortage categories and replenishment status</t>
  </si>
  <si>
    <t>Persistent increase</t>
  </si>
  <si>
    <t>Review replenishment and exception queue</t>
  </si>
  <si>
    <t>Planning</t>
  </si>
  <si>
    <t>Partial fulfillment increase</t>
  </si>
  <si>
    <t>Check large-order and category segments</t>
  </si>
  <si>
    <t>Review allocation rules and risk flags</t>
  </si>
  <si>
    <t>Fulfillment</t>
  </si>
  <si>
    <t>Missing shortage reasons</t>
  </si>
  <si>
    <t>Check exception capture completeness</t>
  </si>
  <si>
    <t>Correct coding process and retrain</t>
  </si>
  <si>
    <t>Missing inventory snapshots</t>
  </si>
  <si>
    <t>Check snapshot process/system feed</t>
  </si>
  <si>
    <t>Fix data capture before causal interpretation</t>
  </si>
  <si>
    <t>Inventory / IT</t>
  </si>
  <si>
    <t>Section</t>
  </si>
  <si>
    <t>Visual / KPI</t>
  </si>
  <si>
    <t>Executive</t>
  </si>
  <si>
    <t>Primary CTQ trend</t>
  </si>
  <si>
    <t>Completeness trend</t>
  </si>
  <si>
    <t>Shortage-related outcome</t>
  </si>
  <si>
    <t>Diagnostic</t>
  </si>
  <si>
    <t>Shortage Pareto by Category</t>
  </si>
  <si>
    <t>Focus improvement attention</t>
  </si>
  <si>
    <t>Fill Rate by Order Quantity Band</t>
  </si>
  <si>
    <t>Monitor validated order-size relationship</t>
  </si>
  <si>
    <t>Control</t>
  </si>
  <si>
    <t>Weekly Fill Rate Trend</t>
  </si>
  <si>
    <t>Detect deterioration over time</t>
  </si>
  <si>
    <t>Shortage Reason Completeness</t>
  </si>
  <si>
    <t>Ensure future-state data discipline</t>
  </si>
  <si>
    <t>Ensure inventory linkage becomes analyzable</t>
  </si>
  <si>
    <t>Element</t>
  </si>
  <si>
    <t>Standard / Requirement</t>
  </si>
  <si>
    <t>Order-size risk flag</t>
  </si>
  <si>
    <t>Apply the approved risk rule to identify high-risk customer orders before allocation</t>
  </si>
  <si>
    <t>Operations / Planning</t>
  </si>
  <si>
    <t>Category-specific rules</t>
  </si>
  <si>
    <t>Supply Chain</t>
  </si>
  <si>
    <t>Inventory-at-order snapshot</t>
  </si>
  <si>
    <t>Capture inventory state at order time to enable future causal analysis</t>
  </si>
  <si>
    <t>Shortage reason codes</t>
  </si>
  <si>
    <t>Require standardized reason capture for incomplete orders</t>
  </si>
  <si>
    <t>Weekly review</t>
  </si>
  <si>
    <t>Review CTQ, secondary KPIs, segment Pareto, and exception data</t>
  </si>
  <si>
    <t>Escalation</t>
  </si>
  <si>
    <t>Open corrective action when an approved trigger is crossed and the signal is confirmed</t>
  </si>
  <si>
    <t>Process Owner</t>
  </si>
  <si>
    <t>Model governance</t>
  </si>
  <si>
    <t>Treat current logistic model as descriptive/in-sample evidence, not a validated production predictor</t>
  </si>
  <si>
    <t>Analytics</t>
  </si>
  <si>
    <t>DMAIC Phase</t>
  </si>
  <si>
    <t>Portfolio Evidence</t>
  </si>
  <si>
    <t>Control Connection</t>
  </si>
  <si>
    <t>Define</t>
  </si>
  <si>
    <t>CTQ and project charter</t>
  </si>
  <si>
    <t>Defines what must be controlled</t>
  </si>
  <si>
    <t>Measure</t>
  </si>
  <si>
    <t>Measurement plan, data dictionary, baseline</t>
  </si>
  <si>
    <t>Defines how KPIs are measured consistently</t>
  </si>
  <si>
    <t>Analyze</t>
  </si>
  <si>
    <t>Validated factors: order quantity and product category; unsupported primary factors documented</t>
  </si>
  <si>
    <t>Improve</t>
  </si>
  <si>
    <t>Risk flag, category rules, inventory snapshot, shortage reason coding, exception handling</t>
  </si>
  <si>
    <t>Defines the future-state process</t>
  </si>
  <si>
    <t>Control plan, SPC guidance, reaction plan, dashboard specification</t>
  </si>
  <si>
    <t>Sustains and detects deterioration</t>
  </si>
  <si>
    <t>Week</t>
  </si>
  <si>
    <t>Ordered Qty</t>
  </si>
  <si>
    <t>Shipped Qty</t>
  </si>
  <si>
    <t>Non-cancelled Fill Rate</t>
  </si>
  <si>
    <t>Exploratory patterns and statistical tests; order quantity, product category, and warehouse were not established as statistically significant factors by the documented tests. Supplier correlation outputs require reconciliation.</t>
  </si>
  <si>
    <t>Monitor category-level patterns descriptively. Do not implement category-specific fulfillment rules as a proven solution without further operational validation.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</si>
</sst>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Weekly Non-cancelled Fill Rate — Baseline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'Baseline Trend'!$D$1</c:f>
              <c:strCache>
                <c:ptCount val="1"/>
                <c:pt idx="0">
                  <c:v>Non-cancelled Fill Rate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'Baseline Trend'!$A$2:$A$54</c:f>
              <c:numCache>
                <c:formatCode>yyyy\-mm\-dd</c:formatCode>
                <c:ptCount val="53"/>
                <c:pt idx="0">
                  <c:v>45656</c:v>
                </c:pt>
                <c:pt idx="1">
                  <c:v>45663</c:v>
                </c:pt>
                <c:pt idx="2">
                  <c:v>45670</c:v>
                </c:pt>
                <c:pt idx="3">
                  <c:v>45677</c:v>
                </c:pt>
                <c:pt idx="4">
                  <c:v>45684</c:v>
                </c:pt>
                <c:pt idx="5">
                  <c:v>45691</c:v>
                </c:pt>
                <c:pt idx="6">
                  <c:v>45698</c:v>
                </c:pt>
                <c:pt idx="7">
                  <c:v>45705</c:v>
                </c:pt>
                <c:pt idx="8">
                  <c:v>45712</c:v>
                </c:pt>
                <c:pt idx="9">
                  <c:v>45719</c:v>
                </c:pt>
                <c:pt idx="10">
                  <c:v>45726</c:v>
                </c:pt>
                <c:pt idx="11">
                  <c:v>45733</c:v>
                </c:pt>
                <c:pt idx="12">
                  <c:v>45740</c:v>
                </c:pt>
                <c:pt idx="13">
                  <c:v>45747</c:v>
                </c:pt>
                <c:pt idx="14">
                  <c:v>45754</c:v>
                </c:pt>
                <c:pt idx="15">
                  <c:v>45761</c:v>
                </c:pt>
                <c:pt idx="16">
                  <c:v>45768</c:v>
                </c:pt>
                <c:pt idx="17">
                  <c:v>45775</c:v>
                </c:pt>
                <c:pt idx="18">
                  <c:v>45782</c:v>
                </c:pt>
                <c:pt idx="19">
                  <c:v>45789</c:v>
                </c:pt>
                <c:pt idx="20">
                  <c:v>45796</c:v>
                </c:pt>
                <c:pt idx="21">
                  <c:v>45803</c:v>
                </c:pt>
                <c:pt idx="22">
                  <c:v>45810</c:v>
                </c:pt>
                <c:pt idx="23">
                  <c:v>45817</c:v>
                </c:pt>
                <c:pt idx="24">
                  <c:v>45824</c:v>
                </c:pt>
                <c:pt idx="25">
                  <c:v>45831</c:v>
                </c:pt>
                <c:pt idx="26">
                  <c:v>45838</c:v>
                </c:pt>
                <c:pt idx="27">
                  <c:v>45845</c:v>
                </c:pt>
                <c:pt idx="28">
                  <c:v>45852</c:v>
                </c:pt>
                <c:pt idx="29">
                  <c:v>45859</c:v>
                </c:pt>
                <c:pt idx="30">
                  <c:v>45866</c:v>
                </c:pt>
                <c:pt idx="31">
                  <c:v>45873</c:v>
                </c:pt>
                <c:pt idx="32">
                  <c:v>45880</c:v>
                </c:pt>
                <c:pt idx="33">
                  <c:v>45887</c:v>
                </c:pt>
                <c:pt idx="34">
                  <c:v>45894</c:v>
                </c:pt>
                <c:pt idx="35">
                  <c:v>45901</c:v>
                </c:pt>
                <c:pt idx="36">
                  <c:v>45908</c:v>
                </c:pt>
                <c:pt idx="37">
                  <c:v>45915</c:v>
                </c:pt>
                <c:pt idx="38">
                  <c:v>45922</c:v>
                </c:pt>
                <c:pt idx="39">
                  <c:v>45929</c:v>
                </c:pt>
                <c:pt idx="40">
                  <c:v>45936</c:v>
                </c:pt>
                <c:pt idx="41">
                  <c:v>45943</c:v>
                </c:pt>
                <c:pt idx="42">
                  <c:v>45950</c:v>
                </c:pt>
                <c:pt idx="43">
                  <c:v>45957</c:v>
                </c:pt>
                <c:pt idx="44">
                  <c:v>45964</c:v>
                </c:pt>
                <c:pt idx="45">
                  <c:v>45971</c:v>
                </c:pt>
                <c:pt idx="46">
                  <c:v>45978</c:v>
                </c:pt>
                <c:pt idx="47">
                  <c:v>45985</c:v>
                </c:pt>
                <c:pt idx="48">
                  <c:v>45992</c:v>
                </c:pt>
                <c:pt idx="49">
                  <c:v>45999</c:v>
                </c:pt>
                <c:pt idx="50">
                  <c:v>46006</c:v>
                </c:pt>
                <c:pt idx="51">
                  <c:v>46013</c:v>
                </c:pt>
                <c:pt idx="52">
                  <c:v>46020</c:v>
                </c:pt>
              </c:numCache>
            </c:numRef>
          </c:cat>
          <c:val>
            <c:numRef>
              <c:f>'Baseline Trend'!$D$2:$D$54</c:f>
              <c:numCache>
                <c:formatCode>0.0%</c:formatCode>
                <c:ptCount val="53"/>
                <c:pt idx="0">
                  <c:v>0.90739672086628875</c:v>
                </c:pt>
                <c:pt idx="1">
                  <c:v>0.92275500900100527</c:v>
                </c:pt>
                <c:pt idx="2">
                  <c:v>0.91617323852617971</c:v>
                </c:pt>
                <c:pt idx="3">
                  <c:v>0.9154219434252574</c:v>
                </c:pt>
                <c:pt idx="4">
                  <c:v>0.90348788957564374</c:v>
                </c:pt>
                <c:pt idx="5">
                  <c:v>0.94145390934656004</c:v>
                </c:pt>
                <c:pt idx="6">
                  <c:v>0.9301278501432596</c:v>
                </c:pt>
                <c:pt idx="7">
                  <c:v>0.9356599133387985</c:v>
                </c:pt>
                <c:pt idx="8">
                  <c:v>0.89666002578225712</c:v>
                </c:pt>
                <c:pt idx="9">
                  <c:v>0.90056322093509433</c:v>
                </c:pt>
                <c:pt idx="10">
                  <c:v>0.94607274253685281</c:v>
                </c:pt>
                <c:pt idx="11">
                  <c:v>0.9338224442898404</c:v>
                </c:pt>
                <c:pt idx="12">
                  <c:v>0.92189692955457614</c:v>
                </c:pt>
                <c:pt idx="13">
                  <c:v>0.8907812993576919</c:v>
                </c:pt>
                <c:pt idx="14">
                  <c:v>0.90230117077109406</c:v>
                </c:pt>
                <c:pt idx="15">
                  <c:v>0.89948336119130834</c:v>
                </c:pt>
                <c:pt idx="16">
                  <c:v>0.91923193379087609</c:v>
                </c:pt>
                <c:pt idx="17">
                  <c:v>0.90121687595637712</c:v>
                </c:pt>
                <c:pt idx="18">
                  <c:v>0.90402065473504789</c:v>
                </c:pt>
                <c:pt idx="19">
                  <c:v>0.90843907526507905</c:v>
                </c:pt>
                <c:pt idx="20">
                  <c:v>0.92443760014983456</c:v>
                </c:pt>
                <c:pt idx="21">
                  <c:v>0.93682789651293585</c:v>
                </c:pt>
                <c:pt idx="22">
                  <c:v>0.93387056386441758</c:v>
                </c:pt>
                <c:pt idx="23">
                  <c:v>0.9399612965650701</c:v>
                </c:pt>
                <c:pt idx="24">
                  <c:v>0.92881399372076634</c:v>
                </c:pt>
                <c:pt idx="25">
                  <c:v>0.92070548043876443</c:v>
                </c:pt>
                <c:pt idx="26">
                  <c:v>0.94320522371707782</c:v>
                </c:pt>
                <c:pt idx="27">
                  <c:v>0.92680128499311609</c:v>
                </c:pt>
                <c:pt idx="28">
                  <c:v>0.93865075322028968</c:v>
                </c:pt>
                <c:pt idx="29">
                  <c:v>0.91941539286672025</c:v>
                </c:pt>
                <c:pt idx="30">
                  <c:v>0.93069433495962672</c:v>
                </c:pt>
                <c:pt idx="31">
                  <c:v>0.91278236369927335</c:v>
                </c:pt>
                <c:pt idx="32">
                  <c:v>0.92636789100977679</c:v>
                </c:pt>
                <c:pt idx="33">
                  <c:v>0.93283869943049036</c:v>
                </c:pt>
                <c:pt idx="34">
                  <c:v>0.88269743125722611</c:v>
                </c:pt>
                <c:pt idx="35">
                  <c:v>0.92344938353252393</c:v>
                </c:pt>
                <c:pt idx="36">
                  <c:v>0.89469610854475534</c:v>
                </c:pt>
                <c:pt idx="37">
                  <c:v>0.91088287399367618</c:v>
                </c:pt>
                <c:pt idx="38">
                  <c:v>0.89958734525447037</c:v>
                </c:pt>
                <c:pt idx="39">
                  <c:v>0.94670525378450576</c:v>
                </c:pt>
                <c:pt idx="40">
                  <c:v>0.92758980191451046</c:v>
                </c:pt>
                <c:pt idx="41">
                  <c:v>0.94012741711157966</c:v>
                </c:pt>
                <c:pt idx="42">
                  <c:v>0.9196561941376693</c:v>
                </c:pt>
                <c:pt idx="43">
                  <c:v>0.93464176377055797</c:v>
                </c:pt>
                <c:pt idx="44">
                  <c:v>0.92003940988877075</c:v>
                </c:pt>
                <c:pt idx="45">
                  <c:v>0.9622186306888717</c:v>
                </c:pt>
                <c:pt idx="46">
                  <c:v>0.93512834490768171</c:v>
                </c:pt>
                <c:pt idx="47">
                  <c:v>0.92191991443278298</c:v>
                </c:pt>
                <c:pt idx="48">
                  <c:v>0.94137389703892171</c:v>
                </c:pt>
                <c:pt idx="49">
                  <c:v>0.89273508220949571</c:v>
                </c:pt>
                <c:pt idx="50">
                  <c:v>0.9230801966082941</c:v>
                </c:pt>
                <c:pt idx="51">
                  <c:v>0.93692525582972608</c:v>
                </c:pt>
                <c:pt idx="52">
                  <c:v>0.92791195034166185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1C7-4AEB-B7CD-DF5B3FFB6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1"/>
        </c:title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Fill Rate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4.4" x14ac:dyDescent="0.3"/>
  <cols>
    <col min="1" max="1" width="20" customWidth="1"/>
    <col min="2" max="2" width="55" customWidth="1"/>
  </cols>
  <sheetData>
    <row r="1" spans="1:2" ht="43.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ht="43.2" x14ac:dyDescent="0.3">
      <c r="A4" s="1" t="s">
        <v>6</v>
      </c>
      <c r="B4" s="1" t="s">
        <v>7</v>
      </c>
    </row>
    <row r="5" spans="1:2" ht="43.2" x14ac:dyDescent="0.3">
      <c r="A5" s="1" t="s">
        <v>8</v>
      </c>
      <c r="B5" s="1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5" customWidth="1"/>
    <col min="2" max="2" width="55" customWidth="1"/>
    <col min="3" max="3" width="33" customWidth="1"/>
    <col min="4" max="4" width="11" customWidth="1"/>
    <col min="5" max="5" width="27" customWidth="1"/>
    <col min="6" max="6" width="47" customWidth="1"/>
    <col min="7" max="7" width="55" customWidth="1"/>
  </cols>
  <sheetData>
    <row r="1" spans="1:7" x14ac:dyDescent="0.3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7" ht="28.8" x14ac:dyDescent="0.3">
      <c r="A2" s="1" t="s">
        <v>5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</row>
    <row r="3" spans="1:7" x14ac:dyDescent="0.3">
      <c r="A3" s="1" t="s">
        <v>23</v>
      </c>
      <c r="B3" s="1" t="s">
        <v>24</v>
      </c>
      <c r="C3" s="1" t="s">
        <v>18</v>
      </c>
      <c r="D3" s="1" t="s">
        <v>19</v>
      </c>
      <c r="E3" s="1" t="s">
        <v>20</v>
      </c>
      <c r="F3" s="1" t="s">
        <v>25</v>
      </c>
      <c r="G3" s="1" t="s">
        <v>26</v>
      </c>
    </row>
    <row r="4" spans="1:7" ht="28.8" x14ac:dyDescent="0.3">
      <c r="A4" s="1" t="s">
        <v>27</v>
      </c>
      <c r="B4" s="1" t="s">
        <v>28</v>
      </c>
      <c r="C4" s="1" t="s">
        <v>18</v>
      </c>
      <c r="D4" s="1" t="s">
        <v>19</v>
      </c>
      <c r="E4" s="1" t="s">
        <v>29</v>
      </c>
      <c r="F4" s="1" t="s">
        <v>30</v>
      </c>
      <c r="G4" s="1" t="s">
        <v>31</v>
      </c>
    </row>
    <row r="5" spans="1:7" x14ac:dyDescent="0.3">
      <c r="A5" s="1" t="s">
        <v>32</v>
      </c>
      <c r="B5" s="1" t="s">
        <v>33</v>
      </c>
      <c r="C5" s="1" t="s">
        <v>18</v>
      </c>
      <c r="D5" s="1" t="s">
        <v>19</v>
      </c>
      <c r="E5" s="1" t="s">
        <v>34</v>
      </c>
      <c r="F5" s="1" t="s">
        <v>30</v>
      </c>
      <c r="G5" s="1" t="s">
        <v>35</v>
      </c>
    </row>
    <row r="6" spans="1:7" ht="28.8" x14ac:dyDescent="0.3">
      <c r="A6" s="1" t="s">
        <v>36</v>
      </c>
      <c r="B6" s="1" t="s">
        <v>37</v>
      </c>
      <c r="C6" s="1" t="s">
        <v>18</v>
      </c>
      <c r="D6" s="1" t="s">
        <v>19</v>
      </c>
      <c r="E6" s="1" t="s">
        <v>20</v>
      </c>
      <c r="F6" s="1" t="s">
        <v>30</v>
      </c>
      <c r="G6" s="1" t="s">
        <v>38</v>
      </c>
    </row>
    <row r="7" spans="1:7" x14ac:dyDescent="0.3">
      <c r="A7" s="1" t="s">
        <v>39</v>
      </c>
      <c r="B7" s="1" t="s">
        <v>40</v>
      </c>
      <c r="C7" s="1" t="s">
        <v>41</v>
      </c>
      <c r="D7" s="1" t="s">
        <v>19</v>
      </c>
      <c r="E7" s="1" t="s">
        <v>42</v>
      </c>
      <c r="F7" s="1" t="s">
        <v>43</v>
      </c>
      <c r="G7" s="1" t="s">
        <v>44</v>
      </c>
    </row>
    <row r="8" spans="1:7" ht="28.8" x14ac:dyDescent="0.3">
      <c r="A8" s="1" t="s">
        <v>45</v>
      </c>
      <c r="B8" s="1" t="s">
        <v>46</v>
      </c>
      <c r="C8" s="1" t="s">
        <v>47</v>
      </c>
      <c r="D8" s="1" t="s">
        <v>19</v>
      </c>
      <c r="E8" s="1" t="s">
        <v>48</v>
      </c>
      <c r="F8" s="1" t="s">
        <v>43</v>
      </c>
      <c r="G8" s="1" t="s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9" customWidth="1"/>
    <col min="2" max="2" width="13" customWidth="1"/>
    <col min="3" max="3" width="49" customWidth="1"/>
    <col min="4" max="4" width="41" customWidth="1"/>
    <col min="5" max="5" width="55" customWidth="1"/>
  </cols>
  <sheetData>
    <row r="1" spans="1:5" x14ac:dyDescent="0.3">
      <c r="A1" s="2" t="s">
        <v>10</v>
      </c>
      <c r="B1" s="2" t="s">
        <v>50</v>
      </c>
      <c r="C1" s="2" t="s">
        <v>51</v>
      </c>
      <c r="D1" s="2" t="s">
        <v>52</v>
      </c>
      <c r="E1" s="2" t="s">
        <v>53</v>
      </c>
    </row>
    <row r="2" spans="1:5" ht="28.8" x14ac:dyDescent="0.3">
      <c r="A2" s="1" t="s">
        <v>5</v>
      </c>
      <c r="B2" s="1" t="s">
        <v>4</v>
      </c>
      <c r="C2" s="1" t="s">
        <v>54</v>
      </c>
      <c r="D2" s="1" t="s">
        <v>55</v>
      </c>
      <c r="E2" s="1" t="s">
        <v>56</v>
      </c>
    </row>
    <row r="3" spans="1:5" x14ac:dyDescent="0.3">
      <c r="A3" s="1" t="s">
        <v>57</v>
      </c>
      <c r="B3" s="1" t="s">
        <v>58</v>
      </c>
      <c r="C3" s="1" t="s">
        <v>59</v>
      </c>
      <c r="D3" s="1" t="s">
        <v>60</v>
      </c>
      <c r="E3" s="1" t="s">
        <v>61</v>
      </c>
    </row>
    <row r="4" spans="1:5" x14ac:dyDescent="0.3">
      <c r="A4" s="1" t="s">
        <v>27</v>
      </c>
      <c r="B4" s="1" t="s">
        <v>62</v>
      </c>
      <c r="C4" s="1" t="s">
        <v>63</v>
      </c>
      <c r="D4" s="1" t="s">
        <v>64</v>
      </c>
      <c r="E4" s="1" t="s">
        <v>65</v>
      </c>
    </row>
    <row r="5" spans="1:5" x14ac:dyDescent="0.3">
      <c r="A5" s="1" t="s">
        <v>32</v>
      </c>
      <c r="B5" s="1" t="s">
        <v>62</v>
      </c>
      <c r="C5" s="1" t="s">
        <v>66</v>
      </c>
      <c r="D5" s="1" t="s">
        <v>64</v>
      </c>
      <c r="E5" s="1" t="s">
        <v>65</v>
      </c>
    </row>
    <row r="6" spans="1:5" x14ac:dyDescent="0.3">
      <c r="A6" s="1" t="s">
        <v>67</v>
      </c>
      <c r="B6" s="1" t="s">
        <v>68</v>
      </c>
      <c r="C6" s="1" t="s">
        <v>69</v>
      </c>
      <c r="D6" s="1" t="s">
        <v>70</v>
      </c>
      <c r="E6" s="1" t="s">
        <v>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5" customWidth="1"/>
    <col min="2" max="3" width="55" customWidth="1"/>
  </cols>
  <sheetData>
    <row r="1" spans="1:3" x14ac:dyDescent="0.3">
      <c r="A1" s="2" t="s">
        <v>72</v>
      </c>
      <c r="B1" s="2" t="s">
        <v>73</v>
      </c>
      <c r="C1" s="2" t="s">
        <v>74</v>
      </c>
    </row>
    <row r="2" spans="1:3" ht="28.8" x14ac:dyDescent="0.3">
      <c r="A2" s="1" t="s">
        <v>5</v>
      </c>
      <c r="B2" s="1" t="s">
        <v>75</v>
      </c>
      <c r="C2" s="1" t="s">
        <v>76</v>
      </c>
    </row>
    <row r="3" spans="1:3" ht="28.8" x14ac:dyDescent="0.3">
      <c r="A3" s="1" t="s">
        <v>77</v>
      </c>
      <c r="B3" s="1" t="s">
        <v>78</v>
      </c>
      <c r="C3" s="1" t="s">
        <v>79</v>
      </c>
    </row>
    <row r="4" spans="1:3" x14ac:dyDescent="0.3">
      <c r="A4" s="1" t="s">
        <v>27</v>
      </c>
      <c r="B4" s="1" t="s">
        <v>80</v>
      </c>
      <c r="C4" s="1" t="s">
        <v>81</v>
      </c>
    </row>
    <row r="5" spans="1:3" x14ac:dyDescent="0.3">
      <c r="A5" s="1" t="s">
        <v>32</v>
      </c>
      <c r="B5" s="1" t="s">
        <v>80</v>
      </c>
      <c r="C5" s="1" t="s">
        <v>81</v>
      </c>
    </row>
    <row r="6" spans="1:3" x14ac:dyDescent="0.3">
      <c r="A6" s="1" t="s">
        <v>39</v>
      </c>
      <c r="B6" s="1" t="s">
        <v>80</v>
      </c>
      <c r="C6" s="1" t="s">
        <v>82</v>
      </c>
    </row>
    <row r="7" spans="1:3" x14ac:dyDescent="0.3">
      <c r="A7" s="1" t="s">
        <v>45</v>
      </c>
      <c r="B7" s="1" t="s">
        <v>80</v>
      </c>
      <c r="C7" s="1" t="s">
        <v>83</v>
      </c>
    </row>
    <row r="8" spans="1:3" ht="28.8" x14ac:dyDescent="0.3">
      <c r="A8" s="1" t="s">
        <v>84</v>
      </c>
      <c r="B8" s="1" t="s">
        <v>85</v>
      </c>
      <c r="C8" s="1" t="s">
        <v>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52" customWidth="1"/>
    <col min="3" max="3" width="36" customWidth="1"/>
    <col min="4" max="4" width="55" customWidth="1"/>
    <col min="5" max="5" width="27" customWidth="1"/>
  </cols>
  <sheetData>
    <row r="1" spans="1:5" x14ac:dyDescent="0.3">
      <c r="A1" s="2" t="s">
        <v>87</v>
      </c>
      <c r="B1" s="2" t="s">
        <v>88</v>
      </c>
      <c r="C1" s="2" t="s">
        <v>89</v>
      </c>
      <c r="D1" s="2" t="s">
        <v>90</v>
      </c>
      <c r="E1" s="2" t="s">
        <v>14</v>
      </c>
    </row>
    <row r="2" spans="1:5" x14ac:dyDescent="0.3">
      <c r="A2" s="1" t="s">
        <v>91</v>
      </c>
      <c r="B2" s="1" t="s">
        <v>92</v>
      </c>
      <c r="C2" s="1" t="s">
        <v>93</v>
      </c>
      <c r="D2" s="1" t="s">
        <v>94</v>
      </c>
      <c r="E2" s="1" t="s">
        <v>20</v>
      </c>
    </row>
    <row r="3" spans="1:5" x14ac:dyDescent="0.3">
      <c r="A3" s="1" t="s">
        <v>95</v>
      </c>
      <c r="B3" s="1" t="s">
        <v>96</v>
      </c>
      <c r="C3" s="1" t="s">
        <v>97</v>
      </c>
      <c r="D3" s="1" t="s">
        <v>98</v>
      </c>
      <c r="E3" s="1" t="s">
        <v>99</v>
      </c>
    </row>
    <row r="4" spans="1:5" x14ac:dyDescent="0.3">
      <c r="A4" s="1" t="s">
        <v>100</v>
      </c>
      <c r="B4" s="1" t="s">
        <v>101</v>
      </c>
      <c r="C4" s="1" t="s">
        <v>97</v>
      </c>
      <c r="D4" s="1" t="s">
        <v>102</v>
      </c>
      <c r="E4" s="1" t="s">
        <v>103</v>
      </c>
    </row>
    <row r="5" spans="1:5" x14ac:dyDescent="0.3">
      <c r="A5" s="1" t="s">
        <v>104</v>
      </c>
      <c r="B5" s="1" t="s">
        <v>105</v>
      </c>
      <c r="C5" s="1" t="s">
        <v>25</v>
      </c>
      <c r="D5" s="1" t="s">
        <v>106</v>
      </c>
      <c r="E5" s="1" t="s">
        <v>42</v>
      </c>
    </row>
    <row r="6" spans="1:5" x14ac:dyDescent="0.3">
      <c r="A6" s="1" t="s">
        <v>107</v>
      </c>
      <c r="B6" s="1" t="s">
        <v>108</v>
      </c>
      <c r="C6" s="1" t="s">
        <v>25</v>
      </c>
      <c r="D6" s="1" t="s">
        <v>109</v>
      </c>
      <c r="E6" s="1" t="s">
        <v>110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34" customWidth="1"/>
    <col min="3" max="3" width="45" customWidth="1"/>
  </cols>
  <sheetData>
    <row r="1" spans="1:3" x14ac:dyDescent="0.3">
      <c r="A1" s="2" t="s">
        <v>111</v>
      </c>
      <c r="B1" s="2" t="s">
        <v>112</v>
      </c>
      <c r="C1" s="2" t="s">
        <v>0</v>
      </c>
    </row>
    <row r="2" spans="1:3" x14ac:dyDescent="0.3">
      <c r="A2" s="1" t="s">
        <v>113</v>
      </c>
      <c r="B2" s="1" t="s">
        <v>5</v>
      </c>
      <c r="C2" s="1" t="s">
        <v>114</v>
      </c>
    </row>
    <row r="3" spans="1:3" x14ac:dyDescent="0.3">
      <c r="A3" s="1" t="s">
        <v>113</v>
      </c>
      <c r="B3" s="1" t="s">
        <v>77</v>
      </c>
      <c r="C3" s="1" t="s">
        <v>115</v>
      </c>
    </row>
    <row r="4" spans="1:3" x14ac:dyDescent="0.3">
      <c r="A4" s="1" t="s">
        <v>113</v>
      </c>
      <c r="B4" s="1" t="s">
        <v>27</v>
      </c>
      <c r="C4" s="1" t="s">
        <v>116</v>
      </c>
    </row>
    <row r="5" spans="1:3" x14ac:dyDescent="0.3">
      <c r="A5" s="1" t="s">
        <v>113</v>
      </c>
      <c r="B5" s="1" t="s">
        <v>32</v>
      </c>
      <c r="C5" s="1" t="s">
        <v>116</v>
      </c>
    </row>
    <row r="6" spans="1:3" x14ac:dyDescent="0.3">
      <c r="A6" s="1" t="s">
        <v>117</v>
      </c>
      <c r="B6" s="1" t="s">
        <v>118</v>
      </c>
      <c r="C6" s="1" t="s">
        <v>119</v>
      </c>
    </row>
    <row r="7" spans="1:3" x14ac:dyDescent="0.3">
      <c r="A7" s="1" t="s">
        <v>117</v>
      </c>
      <c r="B7" s="1" t="s">
        <v>120</v>
      </c>
      <c r="C7" s="1" t="s">
        <v>121</v>
      </c>
    </row>
    <row r="8" spans="1:3" x14ac:dyDescent="0.3">
      <c r="A8" s="1" t="s">
        <v>122</v>
      </c>
      <c r="B8" s="1" t="s">
        <v>123</v>
      </c>
      <c r="C8" s="1" t="s">
        <v>124</v>
      </c>
    </row>
    <row r="9" spans="1:3" x14ac:dyDescent="0.3">
      <c r="A9" s="1" t="s">
        <v>122</v>
      </c>
      <c r="B9" s="1" t="s">
        <v>125</v>
      </c>
      <c r="C9" s="1" t="s">
        <v>126</v>
      </c>
    </row>
    <row r="10" spans="1:3" x14ac:dyDescent="0.3">
      <c r="A10" s="1" t="s">
        <v>122</v>
      </c>
      <c r="B10" s="1" t="s">
        <v>45</v>
      </c>
      <c r="C10" s="1" t="s">
        <v>127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tabSelected="1" workbookViewId="0">
      <pane ySplit="1" topLeftCell="A2" activePane="bottomLeft" state="frozen"/>
      <selection pane="bottomLeft" activeCell="B12" sqref="B12"/>
    </sheetView>
  </sheetViews>
  <sheetFormatPr defaultRowHeight="14.4" x14ac:dyDescent="0.3"/>
  <cols>
    <col min="1" max="1" width="29" customWidth="1"/>
    <col min="2" max="2" width="55" customWidth="1"/>
    <col min="3" max="3" width="27" customWidth="1"/>
  </cols>
  <sheetData>
    <row r="1" spans="1:3" x14ac:dyDescent="0.3">
      <c r="A1" s="2" t="s">
        <v>128</v>
      </c>
      <c r="B1" s="2" t="s">
        <v>129</v>
      </c>
      <c r="C1" s="2" t="s">
        <v>14</v>
      </c>
    </row>
    <row r="2" spans="1:3" ht="28.8" x14ac:dyDescent="0.3">
      <c r="A2" s="1" t="s">
        <v>130</v>
      </c>
      <c r="B2" s="1" t="s">
        <v>131</v>
      </c>
      <c r="C2" s="1" t="s">
        <v>132</v>
      </c>
    </row>
    <row r="3" spans="1:3" ht="43.2" x14ac:dyDescent="0.3">
      <c r="A3" s="1" t="s">
        <v>133</v>
      </c>
      <c r="B3" s="1" t="s">
        <v>168</v>
      </c>
      <c r="C3" s="1" t="s">
        <v>134</v>
      </c>
    </row>
    <row r="4" spans="1:3" ht="28.8" x14ac:dyDescent="0.3">
      <c r="A4" s="1" t="s">
        <v>135</v>
      </c>
      <c r="B4" s="1" t="s">
        <v>136</v>
      </c>
      <c r="C4" s="1" t="s">
        <v>110</v>
      </c>
    </row>
    <row r="5" spans="1:3" x14ac:dyDescent="0.3">
      <c r="A5" s="1" t="s">
        <v>137</v>
      </c>
      <c r="B5" s="1" t="s">
        <v>138</v>
      </c>
      <c r="C5" s="1" t="s">
        <v>42</v>
      </c>
    </row>
    <row r="6" spans="1:3" ht="28.8" x14ac:dyDescent="0.3">
      <c r="A6" s="1" t="s">
        <v>139</v>
      </c>
      <c r="B6" s="1" t="s">
        <v>140</v>
      </c>
      <c r="C6" s="1" t="s">
        <v>20</v>
      </c>
    </row>
    <row r="7" spans="1:3" ht="28.8" x14ac:dyDescent="0.3">
      <c r="A7" s="1" t="s">
        <v>141</v>
      </c>
      <c r="B7" s="1" t="s">
        <v>142</v>
      </c>
      <c r="C7" s="1" t="s">
        <v>143</v>
      </c>
    </row>
    <row r="8" spans="1:3" ht="28.8" x14ac:dyDescent="0.3">
      <c r="A8" s="1" t="s">
        <v>144</v>
      </c>
      <c r="B8" s="1" t="s">
        <v>145</v>
      </c>
      <c r="C8" s="1" t="s">
        <v>146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"/>
  <sheetViews>
    <sheetView workbookViewId="0">
      <pane ySplit="1" topLeftCell="A2" activePane="bottomLeft" state="frozen"/>
      <selection pane="bottomLeft" activeCell="C14" sqref="C14"/>
    </sheetView>
  </sheetViews>
  <sheetFormatPr defaultRowHeight="14.4" x14ac:dyDescent="0.3"/>
  <cols>
    <col min="1" max="1" width="13" customWidth="1"/>
    <col min="2" max="2" width="55" customWidth="1"/>
    <col min="3" max="3" width="47" customWidth="1"/>
  </cols>
  <sheetData>
    <row r="1" spans="1:3" x14ac:dyDescent="0.3">
      <c r="A1" s="2" t="s">
        <v>147</v>
      </c>
      <c r="B1" s="2" t="s">
        <v>148</v>
      </c>
      <c r="C1" s="2" t="s">
        <v>149</v>
      </c>
    </row>
    <row r="2" spans="1:3" x14ac:dyDescent="0.3">
      <c r="A2" s="1" t="s">
        <v>150</v>
      </c>
      <c r="B2" s="1" t="s">
        <v>151</v>
      </c>
      <c r="C2" s="1" t="s">
        <v>152</v>
      </c>
    </row>
    <row r="3" spans="1:3" x14ac:dyDescent="0.3">
      <c r="A3" s="1" t="s">
        <v>153</v>
      </c>
      <c r="B3" s="1" t="s">
        <v>154</v>
      </c>
      <c r="C3" s="1" t="s">
        <v>155</v>
      </c>
    </row>
    <row r="4" spans="1:3" ht="72" x14ac:dyDescent="0.3">
      <c r="A4" s="1" t="s">
        <v>156</v>
      </c>
      <c r="B4" s="1" t="s">
        <v>157</v>
      </c>
      <c r="C4" s="1" t="s">
        <v>167</v>
      </c>
    </row>
    <row r="5" spans="1:3" ht="28.8" x14ac:dyDescent="0.3">
      <c r="A5" s="1" t="s">
        <v>158</v>
      </c>
      <c r="B5" s="1" t="s">
        <v>159</v>
      </c>
      <c r="C5" s="1" t="s">
        <v>160</v>
      </c>
    </row>
    <row r="6" spans="1:3" ht="28.8" x14ac:dyDescent="0.3">
      <c r="A6" s="1" t="s">
        <v>122</v>
      </c>
      <c r="B6" s="1" t="s">
        <v>161</v>
      </c>
      <c r="C6" s="1" t="s">
        <v>162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4"/>
  <sheetViews>
    <sheetView workbookViewId="0"/>
  </sheetViews>
  <sheetFormatPr defaultRowHeight="14.4" x14ac:dyDescent="0.3"/>
  <cols>
    <col min="1" max="1" width="12" customWidth="1"/>
    <col min="2" max="3" width="13" customWidth="1"/>
    <col min="4" max="4" width="25" customWidth="1"/>
  </cols>
  <sheetData>
    <row r="1" spans="1:4" x14ac:dyDescent="0.3">
      <c r="A1" s="2" t="s">
        <v>163</v>
      </c>
      <c r="B1" s="2" t="s">
        <v>164</v>
      </c>
      <c r="C1" s="2" t="s">
        <v>165</v>
      </c>
      <c r="D1" s="2" t="s">
        <v>166</v>
      </c>
    </row>
    <row r="2" spans="1:4" x14ac:dyDescent="0.3">
      <c r="A2" s="3">
        <v>45656</v>
      </c>
      <c r="B2" s="1">
        <v>29459</v>
      </c>
      <c r="C2" s="1">
        <v>26731</v>
      </c>
      <c r="D2" s="4">
        <v>0.90739672086628875</v>
      </c>
    </row>
    <row r="3" spans="1:4" x14ac:dyDescent="0.3">
      <c r="A3" s="3">
        <v>45663</v>
      </c>
      <c r="B3" s="1">
        <v>42773</v>
      </c>
      <c r="C3" s="1">
        <v>39469</v>
      </c>
      <c r="D3" s="4">
        <v>0.92275500900100527</v>
      </c>
    </row>
    <row r="4" spans="1:4" x14ac:dyDescent="0.3">
      <c r="A4" s="3">
        <v>45670</v>
      </c>
      <c r="B4" s="1">
        <v>38675</v>
      </c>
      <c r="C4" s="1">
        <v>35433</v>
      </c>
      <c r="D4" s="4">
        <v>0.91617323852617971</v>
      </c>
    </row>
    <row r="5" spans="1:4" x14ac:dyDescent="0.3">
      <c r="A5" s="3">
        <v>45677</v>
      </c>
      <c r="B5" s="1">
        <v>42245</v>
      </c>
      <c r="C5" s="1">
        <v>38672</v>
      </c>
      <c r="D5" s="4">
        <v>0.9154219434252574</v>
      </c>
    </row>
    <row r="6" spans="1:4" x14ac:dyDescent="0.3">
      <c r="A6" s="3">
        <v>45684</v>
      </c>
      <c r="B6" s="1">
        <v>45787</v>
      </c>
      <c r="C6" s="1">
        <v>41368</v>
      </c>
      <c r="D6" s="4">
        <v>0.90348788957564374</v>
      </c>
    </row>
    <row r="7" spans="1:4" x14ac:dyDescent="0.3">
      <c r="A7" s="3">
        <v>45691</v>
      </c>
      <c r="B7" s="1">
        <v>45161</v>
      </c>
      <c r="C7" s="1">
        <v>42517</v>
      </c>
      <c r="D7" s="4">
        <v>0.94145390934656004</v>
      </c>
    </row>
    <row r="8" spans="1:4" x14ac:dyDescent="0.3">
      <c r="A8" s="3">
        <v>45698</v>
      </c>
      <c r="B8" s="1">
        <v>41533</v>
      </c>
      <c r="C8" s="1">
        <v>38631</v>
      </c>
      <c r="D8" s="4">
        <v>0.9301278501432596</v>
      </c>
    </row>
    <row r="9" spans="1:4" x14ac:dyDescent="0.3">
      <c r="A9" s="3">
        <v>45705</v>
      </c>
      <c r="B9" s="1">
        <v>42695</v>
      </c>
      <c r="C9" s="1">
        <v>39948</v>
      </c>
      <c r="D9" s="4">
        <v>0.9356599133387985</v>
      </c>
    </row>
    <row r="10" spans="1:4" x14ac:dyDescent="0.3">
      <c r="A10" s="3">
        <v>45712</v>
      </c>
      <c r="B10" s="1">
        <v>42665</v>
      </c>
      <c r="C10" s="1">
        <v>38256</v>
      </c>
      <c r="D10" s="4">
        <v>0.89666002578225712</v>
      </c>
    </row>
    <row r="11" spans="1:4" x14ac:dyDescent="0.3">
      <c r="A11" s="3">
        <v>45719</v>
      </c>
      <c r="B11" s="1">
        <v>40659</v>
      </c>
      <c r="C11" s="1">
        <v>36616</v>
      </c>
      <c r="D11" s="4">
        <v>0.90056322093509433</v>
      </c>
    </row>
    <row r="12" spans="1:4" x14ac:dyDescent="0.3">
      <c r="A12" s="3">
        <v>45726</v>
      </c>
      <c r="B12" s="1">
        <v>40499</v>
      </c>
      <c r="C12" s="1">
        <v>38315</v>
      </c>
      <c r="D12" s="4">
        <v>0.94607274253685281</v>
      </c>
    </row>
    <row r="13" spans="1:4" x14ac:dyDescent="0.3">
      <c r="A13" s="3">
        <v>45733</v>
      </c>
      <c r="B13" s="1">
        <v>47433</v>
      </c>
      <c r="C13" s="1">
        <v>44294</v>
      </c>
      <c r="D13" s="4">
        <v>0.9338224442898404</v>
      </c>
    </row>
    <row r="14" spans="1:4" x14ac:dyDescent="0.3">
      <c r="A14" s="3">
        <v>45740</v>
      </c>
      <c r="B14" s="1">
        <v>40613</v>
      </c>
      <c r="C14" s="1">
        <v>37441</v>
      </c>
      <c r="D14" s="4">
        <v>0.92189692955457614</v>
      </c>
    </row>
    <row r="15" spans="1:4" x14ac:dyDescent="0.3">
      <c r="A15" s="3">
        <v>45747</v>
      </c>
      <c r="B15" s="1">
        <v>37988</v>
      </c>
      <c r="C15" s="1">
        <v>33839</v>
      </c>
      <c r="D15" s="4">
        <v>0.8907812993576919</v>
      </c>
    </row>
    <row r="16" spans="1:4" x14ac:dyDescent="0.3">
      <c r="A16" s="3">
        <v>45754</v>
      </c>
      <c r="B16" s="1">
        <v>42109</v>
      </c>
      <c r="C16" s="1">
        <v>37995</v>
      </c>
      <c r="D16" s="4">
        <v>0.90230117077109406</v>
      </c>
    </row>
    <row r="17" spans="1:4" x14ac:dyDescent="0.3">
      <c r="A17" s="3">
        <v>45761</v>
      </c>
      <c r="B17" s="1">
        <v>39486</v>
      </c>
      <c r="C17" s="1">
        <v>35517</v>
      </c>
      <c r="D17" s="4">
        <v>0.89948336119130834</v>
      </c>
    </row>
    <row r="18" spans="1:4" x14ac:dyDescent="0.3">
      <c r="A18" s="3">
        <v>45768</v>
      </c>
      <c r="B18" s="1">
        <v>39632</v>
      </c>
      <c r="C18" s="1">
        <v>36431</v>
      </c>
      <c r="D18" s="4">
        <v>0.91923193379087609</v>
      </c>
    </row>
    <row r="19" spans="1:4" x14ac:dyDescent="0.3">
      <c r="A19" s="3">
        <v>45775</v>
      </c>
      <c r="B19" s="1">
        <v>41171</v>
      </c>
      <c r="C19" s="1">
        <v>37104</v>
      </c>
      <c r="D19" s="4">
        <v>0.90121687595637712</v>
      </c>
    </row>
    <row r="20" spans="1:4" x14ac:dyDescent="0.3">
      <c r="A20" s="3">
        <v>45782</v>
      </c>
      <c r="B20" s="1">
        <v>39894</v>
      </c>
      <c r="C20" s="1">
        <v>36065</v>
      </c>
      <c r="D20" s="4">
        <v>0.90402065473504789</v>
      </c>
    </row>
    <row r="21" spans="1:4" x14ac:dyDescent="0.3">
      <c r="A21" s="3">
        <v>45789</v>
      </c>
      <c r="B21" s="1">
        <v>46024</v>
      </c>
      <c r="C21" s="1">
        <v>41810</v>
      </c>
      <c r="D21" s="4">
        <v>0.90843907526507905</v>
      </c>
    </row>
    <row r="22" spans="1:4" x14ac:dyDescent="0.3">
      <c r="A22" s="3">
        <v>45796</v>
      </c>
      <c r="B22" s="1">
        <v>48053</v>
      </c>
      <c r="C22" s="1">
        <v>44422</v>
      </c>
      <c r="D22" s="4">
        <v>0.92443760014983456</v>
      </c>
    </row>
    <row r="23" spans="1:4" x14ac:dyDescent="0.3">
      <c r="A23" s="3">
        <v>45803</v>
      </c>
      <c r="B23" s="1">
        <v>44450</v>
      </c>
      <c r="C23" s="1">
        <v>41642</v>
      </c>
      <c r="D23" s="4">
        <v>0.93682789651293585</v>
      </c>
    </row>
    <row r="24" spans="1:4" x14ac:dyDescent="0.3">
      <c r="A24" s="3">
        <v>45810</v>
      </c>
      <c r="B24" s="1">
        <v>43929</v>
      </c>
      <c r="C24" s="1">
        <v>41024</v>
      </c>
      <c r="D24" s="4">
        <v>0.93387056386441758</v>
      </c>
    </row>
    <row r="25" spans="1:4" x14ac:dyDescent="0.3">
      <c r="A25" s="3">
        <v>45817</v>
      </c>
      <c r="B25" s="1">
        <v>41340</v>
      </c>
      <c r="C25" s="1">
        <v>38858</v>
      </c>
      <c r="D25" s="4">
        <v>0.9399612965650701</v>
      </c>
    </row>
    <row r="26" spans="1:4" x14ac:dyDescent="0.3">
      <c r="A26" s="3">
        <v>45824</v>
      </c>
      <c r="B26" s="1">
        <v>46821</v>
      </c>
      <c r="C26" s="1">
        <v>43488</v>
      </c>
      <c r="D26" s="4">
        <v>0.92881399372076634</v>
      </c>
    </row>
    <row r="27" spans="1:4" x14ac:dyDescent="0.3">
      <c r="A27" s="3">
        <v>45831</v>
      </c>
      <c r="B27" s="1">
        <v>48591</v>
      </c>
      <c r="C27" s="1">
        <v>44738</v>
      </c>
      <c r="D27" s="4">
        <v>0.92070548043876443</v>
      </c>
    </row>
    <row r="28" spans="1:4" x14ac:dyDescent="0.3">
      <c r="A28" s="3">
        <v>45838</v>
      </c>
      <c r="B28" s="1">
        <v>45638</v>
      </c>
      <c r="C28" s="1">
        <v>43046</v>
      </c>
      <c r="D28" s="4">
        <v>0.94320522371707782</v>
      </c>
    </row>
    <row r="29" spans="1:4" x14ac:dyDescent="0.3">
      <c r="A29" s="3">
        <v>45845</v>
      </c>
      <c r="B29" s="1">
        <v>43580</v>
      </c>
      <c r="C29" s="1">
        <v>40390</v>
      </c>
      <c r="D29" s="4">
        <v>0.92680128499311609</v>
      </c>
    </row>
    <row r="30" spans="1:4" x14ac:dyDescent="0.3">
      <c r="A30" s="3">
        <v>45852</v>
      </c>
      <c r="B30" s="1">
        <v>41223</v>
      </c>
      <c r="C30" s="1">
        <v>38694</v>
      </c>
      <c r="D30" s="4">
        <v>0.93865075322028968</v>
      </c>
    </row>
    <row r="31" spans="1:4" x14ac:dyDescent="0.3">
      <c r="A31" s="3">
        <v>45859</v>
      </c>
      <c r="B31" s="1">
        <v>44748</v>
      </c>
      <c r="C31" s="1">
        <v>41142</v>
      </c>
      <c r="D31" s="4">
        <v>0.91941539286672025</v>
      </c>
    </row>
    <row r="32" spans="1:4" x14ac:dyDescent="0.3">
      <c r="A32" s="3">
        <v>45866</v>
      </c>
      <c r="B32" s="1">
        <v>46937</v>
      </c>
      <c r="C32" s="1">
        <v>43684</v>
      </c>
      <c r="D32" s="4">
        <v>0.93069433495962672</v>
      </c>
    </row>
    <row r="33" spans="1:4" x14ac:dyDescent="0.3">
      <c r="A33" s="3">
        <v>45873</v>
      </c>
      <c r="B33" s="1">
        <v>40462</v>
      </c>
      <c r="C33" s="1">
        <v>36933</v>
      </c>
      <c r="D33" s="4">
        <v>0.91278236369927335</v>
      </c>
    </row>
    <row r="34" spans="1:4" x14ac:dyDescent="0.3">
      <c r="A34" s="3">
        <v>45880</v>
      </c>
      <c r="B34" s="1">
        <v>40811</v>
      </c>
      <c r="C34" s="1">
        <v>37806</v>
      </c>
      <c r="D34" s="4">
        <v>0.92636789100977679</v>
      </c>
    </row>
    <row r="35" spans="1:4" x14ac:dyDescent="0.3">
      <c r="A35" s="3">
        <v>45887</v>
      </c>
      <c r="B35" s="1">
        <v>44073</v>
      </c>
      <c r="C35" s="1">
        <v>41113</v>
      </c>
      <c r="D35" s="4">
        <v>0.93283869943049036</v>
      </c>
    </row>
    <row r="36" spans="1:4" x14ac:dyDescent="0.3">
      <c r="A36" s="3">
        <v>45894</v>
      </c>
      <c r="B36" s="1">
        <v>39786</v>
      </c>
      <c r="C36" s="1">
        <v>35119</v>
      </c>
      <c r="D36" s="4">
        <v>0.88269743125722611</v>
      </c>
    </row>
    <row r="37" spans="1:4" x14ac:dyDescent="0.3">
      <c r="A37" s="3">
        <v>45901</v>
      </c>
      <c r="B37" s="1">
        <v>42338</v>
      </c>
      <c r="C37" s="1">
        <v>39097</v>
      </c>
      <c r="D37" s="4">
        <v>0.92344938353252393</v>
      </c>
    </row>
    <row r="38" spans="1:4" x14ac:dyDescent="0.3">
      <c r="A38" s="3">
        <v>45908</v>
      </c>
      <c r="B38" s="1">
        <v>41347</v>
      </c>
      <c r="C38" s="1">
        <v>36993</v>
      </c>
      <c r="D38" s="4">
        <v>0.89469610854475534</v>
      </c>
    </row>
    <row r="39" spans="1:4" x14ac:dyDescent="0.3">
      <c r="A39" s="3">
        <v>45915</v>
      </c>
      <c r="B39" s="1">
        <v>44593</v>
      </c>
      <c r="C39" s="1">
        <v>40619</v>
      </c>
      <c r="D39" s="4">
        <v>0.91088287399367618</v>
      </c>
    </row>
    <row r="40" spans="1:4" x14ac:dyDescent="0.3">
      <c r="A40" s="3">
        <v>45922</v>
      </c>
      <c r="B40" s="1">
        <v>45074</v>
      </c>
      <c r="C40" s="1">
        <v>40548</v>
      </c>
      <c r="D40" s="4">
        <v>0.89958734525447037</v>
      </c>
    </row>
    <row r="41" spans="1:4" x14ac:dyDescent="0.3">
      <c r="A41" s="3">
        <v>45929</v>
      </c>
      <c r="B41" s="1">
        <v>44920</v>
      </c>
      <c r="C41" s="1">
        <v>42526</v>
      </c>
      <c r="D41" s="4">
        <v>0.94670525378450576</v>
      </c>
    </row>
    <row r="42" spans="1:4" x14ac:dyDescent="0.3">
      <c r="A42" s="3">
        <v>45936</v>
      </c>
      <c r="B42" s="1">
        <v>42204</v>
      </c>
      <c r="C42" s="1">
        <v>39148</v>
      </c>
      <c r="D42" s="4">
        <v>0.92758980191451046</v>
      </c>
    </row>
    <row r="43" spans="1:4" x14ac:dyDescent="0.3">
      <c r="A43" s="3">
        <v>45943</v>
      </c>
      <c r="B43" s="1">
        <v>44578</v>
      </c>
      <c r="C43" s="1">
        <v>41909</v>
      </c>
      <c r="D43" s="4">
        <v>0.94012741711157966</v>
      </c>
    </row>
    <row r="44" spans="1:4" x14ac:dyDescent="0.3">
      <c r="A44" s="3">
        <v>45950</v>
      </c>
      <c r="B44" s="1">
        <v>40837</v>
      </c>
      <c r="C44" s="1">
        <v>37556</v>
      </c>
      <c r="D44" s="4">
        <v>0.9196561941376693</v>
      </c>
    </row>
    <row r="45" spans="1:4" x14ac:dyDescent="0.3">
      <c r="A45" s="3">
        <v>45957</v>
      </c>
      <c r="B45" s="1">
        <v>42137</v>
      </c>
      <c r="C45" s="1">
        <v>39383</v>
      </c>
      <c r="D45" s="4">
        <v>0.93464176377055797</v>
      </c>
    </row>
    <row r="46" spans="1:4" x14ac:dyDescent="0.3">
      <c r="A46" s="3">
        <v>45964</v>
      </c>
      <c r="B46" s="1">
        <v>38569</v>
      </c>
      <c r="C46" s="1">
        <v>35485</v>
      </c>
      <c r="D46" s="4">
        <v>0.92003940988877075</v>
      </c>
    </row>
    <row r="47" spans="1:4" x14ac:dyDescent="0.3">
      <c r="A47" s="3">
        <v>45971</v>
      </c>
      <c r="B47" s="1">
        <v>42693</v>
      </c>
      <c r="C47" s="1">
        <v>41080</v>
      </c>
      <c r="D47" s="4">
        <v>0.9622186306888717</v>
      </c>
    </row>
    <row r="48" spans="1:4" x14ac:dyDescent="0.3">
      <c r="A48" s="3">
        <v>45978</v>
      </c>
      <c r="B48" s="1">
        <v>42191</v>
      </c>
      <c r="C48" s="1">
        <v>39454</v>
      </c>
      <c r="D48" s="4">
        <v>0.93512834490768171</v>
      </c>
    </row>
    <row r="49" spans="1:4" x14ac:dyDescent="0.3">
      <c r="A49" s="3">
        <v>45985</v>
      </c>
      <c r="B49" s="1">
        <v>44877</v>
      </c>
      <c r="C49" s="1">
        <v>41373</v>
      </c>
      <c r="D49" s="4">
        <v>0.92191991443278298</v>
      </c>
    </row>
    <row r="50" spans="1:4" x14ac:dyDescent="0.3">
      <c r="A50" s="3">
        <v>45992</v>
      </c>
      <c r="B50" s="1">
        <v>36946</v>
      </c>
      <c r="C50" s="1">
        <v>34780</v>
      </c>
      <c r="D50" s="4">
        <v>0.94137389703892171</v>
      </c>
    </row>
    <row r="51" spans="1:4" x14ac:dyDescent="0.3">
      <c r="A51" s="3">
        <v>45999</v>
      </c>
      <c r="B51" s="1">
        <v>43304</v>
      </c>
      <c r="C51" s="1">
        <v>38659</v>
      </c>
      <c r="D51" s="4">
        <v>0.89273508220949571</v>
      </c>
    </row>
    <row r="52" spans="1:4" x14ac:dyDescent="0.3">
      <c r="A52" s="3">
        <v>46006</v>
      </c>
      <c r="B52" s="1">
        <v>46997</v>
      </c>
      <c r="C52" s="1">
        <v>43382</v>
      </c>
      <c r="D52" s="4">
        <v>0.9230801966082941</v>
      </c>
    </row>
    <row r="53" spans="1:4" x14ac:dyDescent="0.3">
      <c r="A53" s="3">
        <v>46013</v>
      </c>
      <c r="B53" s="1">
        <v>50131</v>
      </c>
      <c r="C53" s="1">
        <v>46969</v>
      </c>
      <c r="D53" s="4">
        <v>0.93692525582972608</v>
      </c>
    </row>
    <row r="54" spans="1:4" x14ac:dyDescent="0.3">
      <c r="A54" s="3">
        <v>46020</v>
      </c>
      <c r="B54" s="1">
        <v>19171</v>
      </c>
      <c r="C54" s="1">
        <v>17789</v>
      </c>
      <c r="D54" s="4">
        <v>0.92791195034166185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Control Overview</vt:lpstr>
      <vt:lpstr>Control Plan</vt:lpstr>
      <vt:lpstr>KPI Definitions</vt:lpstr>
      <vt:lpstr>SPC Guidance</vt:lpstr>
      <vt:lpstr>Reaction Plan</vt:lpstr>
      <vt:lpstr>Dashboard Spec</vt:lpstr>
      <vt:lpstr>Standardization Handoff</vt:lpstr>
      <vt:lpstr>DMAIC Linkage</vt:lpstr>
      <vt:lpstr>Baseline 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FARHAN ABBAS RIZVI</cp:lastModifiedBy>
  <dcterms:created xsi:type="dcterms:W3CDTF">2026-10-03T16:25:16Z</dcterms:created>
  <dcterms:modified xsi:type="dcterms:W3CDTF">2026-10-13T01:47:37Z</dcterms:modified>
</cp:coreProperties>
</file>